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charts/chartEx12.xml" ContentType="application/vnd.ms-office.chartex+xml"/>
  <Override PartName="/xl/charts/style12.xml" ContentType="application/vnd.ms-office.chartstyle+xml"/>
  <Override PartName="/xl/charts/colors12.xml" ContentType="application/vnd.ms-office.chartcolorstyle+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charts/chartEx15.xml" ContentType="application/vnd.ms-office.chartex+xml"/>
  <Override PartName="/xl/charts/style15.xml" ContentType="application/vnd.ms-office.chartstyle+xml"/>
  <Override PartName="/xl/charts/colors15.xml" ContentType="application/vnd.ms-office.chartcolorstyle+xml"/>
  <Override PartName="/xl/charts/chartEx16.xml" ContentType="application/vnd.ms-office.chartex+xml"/>
  <Override PartName="/xl/charts/style16.xml" ContentType="application/vnd.ms-office.chartstyle+xml"/>
  <Override PartName="/xl/charts/colors16.xml" ContentType="application/vnd.ms-office.chartcolorstyle+xml"/>
  <Override PartName="/xl/charts/chartEx17.xml" ContentType="application/vnd.ms-office.chartex+xml"/>
  <Override PartName="/xl/charts/style17.xml" ContentType="application/vnd.ms-office.chartstyle+xml"/>
  <Override PartName="/xl/charts/colors17.xml" ContentType="application/vnd.ms-office.chartcolorstyle+xml"/>
  <Override PartName="/xl/charts/chartEx18.xml" ContentType="application/vnd.ms-office.chartex+xml"/>
  <Override PartName="/xl/charts/style18.xml" ContentType="application/vnd.ms-office.chartstyle+xml"/>
  <Override PartName="/xl/charts/colors18.xml" ContentType="application/vnd.ms-office.chartcolorstyle+xml"/>
  <Override PartName="/xl/charts/chartEx19.xml" ContentType="application/vnd.ms-office.chartex+xml"/>
  <Override PartName="/xl/charts/style19.xml" ContentType="application/vnd.ms-office.chartstyle+xml"/>
  <Override PartName="/xl/charts/colors19.xml" ContentType="application/vnd.ms-office.chartcolorstyle+xml"/>
  <Override PartName="/xl/charts/chartEx20.xml" ContentType="application/vnd.ms-office.chartex+xml"/>
  <Override PartName="/xl/charts/style20.xml" ContentType="application/vnd.ms-office.chartstyle+xml"/>
  <Override PartName="/xl/charts/colors20.xml" ContentType="application/vnd.ms-office.chartcolorstyle+xml"/>
  <Override PartName="/xl/charts/chartEx21.xml" ContentType="application/vnd.ms-office.chartex+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LENOVO\Downloads\"/>
    </mc:Choice>
  </mc:AlternateContent>
  <xr:revisionPtr revIDLastSave="0" documentId="13_ncr:1_{785BFDAB-FDD3-444B-B65B-100909140359}" xr6:coauthVersionLast="47" xr6:coauthVersionMax="47" xr10:uidLastSave="{00000000-0000-0000-0000-000000000000}"/>
  <bookViews>
    <workbookView xWindow="-108" yWindow="-108" windowWidth="23256" windowHeight="12456" tabRatio="713" activeTab="1" xr2:uid="{6EC0F0FA-E79E-4270-B4CF-F0C6D8F05856}"/>
  </bookViews>
  <sheets>
    <sheet name="Watchlist" sheetId="13" r:id="rId1"/>
    <sheet name="Heatmap" sheetId="8" r:id="rId2"/>
    <sheet name="VBA" sheetId="12" r:id="rId3"/>
  </sheets>
  <definedNames>
    <definedName name="_xlchart.v1.0" hidden="1">Heatmap!$A$282:$A$303</definedName>
    <definedName name="_xlchart.v1.1" hidden="1">Heatmap!$G$282:$G$303</definedName>
    <definedName name="_xlchart.v1.10" hidden="1">Heatmap!$A$22:$A$82</definedName>
    <definedName name="_xlchart.v1.11" hidden="1">Heatmap!$G$22:$G$82</definedName>
    <definedName name="_xlchart.v1.12" hidden="1">Heatmap!$A$128:$A$149</definedName>
    <definedName name="_xlchart.v1.13" hidden="1">Heatmap!$G$128:$G$149</definedName>
    <definedName name="_xlchart.v1.14" hidden="1">Heatmap!$A$304:$A$334</definedName>
    <definedName name="_xlchart.v1.15" hidden="1">Heatmap!$G$304:$G$334</definedName>
    <definedName name="_xlchart.v1.16" hidden="1">Heatmap!$A$206:$A$245</definedName>
    <definedName name="_xlchart.v1.17" hidden="1">Heatmap!$G$206:$G$245</definedName>
    <definedName name="_xlchart.v1.18" hidden="1">Heatmap!$A$83:$A$102</definedName>
    <definedName name="_xlchart.v1.19" hidden="1">Heatmap!$G$83:$G$102</definedName>
    <definedName name="_xlchart.v1.2" hidden="1">Heatmap!$A$366:$A$416</definedName>
    <definedName name="_xlchart.v1.20" hidden="1">Heatmap!$A$2:$A$13</definedName>
    <definedName name="_xlchart.v1.21" hidden="1">Heatmap!$G$2:$G$13</definedName>
    <definedName name="_xlchart.v1.22" hidden="1">Heatmap!$A$180:$A$196</definedName>
    <definedName name="_xlchart.v1.23" hidden="1">Heatmap!$G$180:$G$196</definedName>
    <definedName name="_xlchart.v1.24" hidden="1">Heatmap!$A$103:$A$108</definedName>
    <definedName name="_xlchart.v1.25" hidden="1">Heatmap!$G$103:$G$108</definedName>
    <definedName name="_xlchart.v1.26" hidden="1">Heatmap!$A$150:$A$179</definedName>
    <definedName name="_xlchart.v1.27" hidden="1">Heatmap!$G$150:$G$179</definedName>
    <definedName name="_xlchart.v1.28" hidden="1">Heatmap!$A$122:$A$127</definedName>
    <definedName name="_xlchart.v1.29" hidden="1">Heatmap!$G$122:$G$127</definedName>
    <definedName name="_xlchart.v1.3" hidden="1">Heatmap!$G$366:$G$416</definedName>
    <definedName name="_xlchart.v1.30" hidden="1">Heatmap!$A$420:$A$426</definedName>
    <definedName name="_xlchart.v1.31" hidden="1">Heatmap!$G$420:$G$426</definedName>
    <definedName name="_xlchart.v1.32" hidden="1">Heatmap!$A$197:$A$205</definedName>
    <definedName name="_xlchart.v1.33" hidden="1">Heatmap!$G$197:$G$205</definedName>
    <definedName name="_xlchart.v1.34" hidden="1">Heatmap!$A$349:$A$365</definedName>
    <definedName name="_xlchart.v1.35" hidden="1">Heatmap!$G$349:$G$365</definedName>
    <definedName name="_xlchart.v1.36" hidden="1">Heatmap!$A$335:$A$348</definedName>
    <definedName name="_xlchart.v1.37" hidden="1">Heatmap!$G$335:$G$348</definedName>
    <definedName name="_xlchart.v1.38" hidden="1">Heatmap!$A$14:$A$21</definedName>
    <definedName name="_xlchart.v1.39" hidden="1">Heatmap!$G$14:$G$21</definedName>
    <definedName name="_xlchart.v1.4" hidden="1">Heatmap!$A$246:$A$281</definedName>
    <definedName name="_xlchart.v1.40" hidden="1">Heatmap!$A$417:$A$419</definedName>
    <definedName name="_xlchart.v1.41" hidden="1">Heatmap!$G$417:$G$419</definedName>
    <definedName name="_xlchart.v1.5" hidden="1">Heatmap!$G$246:$G$281</definedName>
    <definedName name="_xlchart.v1.6" hidden="1">Heatmap!$A$109:$A$117</definedName>
    <definedName name="_xlchart.v1.7" hidden="1">Heatmap!$G$109:$G$117</definedName>
    <definedName name="_xlchart.v1.8" hidden="1">Heatmap!$A$118:$A$121</definedName>
    <definedName name="_xlchart.v1.9" hidden="1">Heatmap!$G$118:$G$121</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"05/04/2025 00:46:03"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5" i="13" l="1" a="1"/>
  <c r="A55" i="13" s="1"/>
  <c r="C55" i="13" a="1"/>
  <c r="C55" i="13" s="1"/>
  <c r="D55" i="13" a="1"/>
  <c r="D55" i="13" s="1"/>
  <c r="F55" i="13" a="1"/>
  <c r="F55" i="13" s="1"/>
  <c r="G55" i="13" a="1"/>
  <c r="G55" i="13" s="1"/>
  <c r="H55" i="13" a="1"/>
  <c r="H55" i="13" s="1"/>
  <c r="I55" i="13" a="1"/>
  <c r="I55" i="13" s="1"/>
  <c r="J55" i="13" a="1"/>
  <c r="J55" i="13" s="1"/>
  <c r="K55" i="13" a="1"/>
  <c r="K55" i="13" s="1"/>
  <c r="A54" i="13" a="1"/>
  <c r="A54" i="13" s="1"/>
  <c r="C54" i="13" a="1"/>
  <c r="C54" i="13" s="1"/>
  <c r="D54" i="13" a="1"/>
  <c r="D54" i="13" s="1"/>
  <c r="F54" i="13" a="1"/>
  <c r="F54" i="13" s="1"/>
  <c r="G54" i="13" a="1"/>
  <c r="G54" i="13" s="1"/>
  <c r="H54" i="13" a="1"/>
  <c r="H54" i="13" s="1"/>
  <c r="I54" i="13" a="1"/>
  <c r="I54" i="13" s="1"/>
  <c r="J54" i="13" a="1"/>
  <c r="J54" i="13" s="1"/>
  <c r="K54" i="13" a="1"/>
  <c r="K54" i="13" s="1"/>
  <c r="A53" i="13" a="1"/>
  <c r="A53" i="13" s="1"/>
  <c r="C53" i="13" a="1"/>
  <c r="C53" i="13" s="1"/>
  <c r="D53" i="13" a="1"/>
  <c r="D53" i="13" s="1"/>
  <c r="F53" i="13" a="1"/>
  <c r="F53" i="13" s="1"/>
  <c r="G53" i="13" a="1"/>
  <c r="G53" i="13" s="1"/>
  <c r="H53" i="13" a="1"/>
  <c r="H53" i="13" s="1"/>
  <c r="I53" i="13" a="1"/>
  <c r="I53" i="13" s="1"/>
  <c r="J53" i="13" a="1"/>
  <c r="J53" i="13" s="1"/>
  <c r="K53" i="13" a="1"/>
  <c r="K53" i="13" s="1"/>
  <c r="A52" i="13" a="1"/>
  <c r="A52" i="13" s="1"/>
  <c r="C52" i="13" a="1"/>
  <c r="C52" i="13" s="1"/>
  <c r="D52" i="13" a="1"/>
  <c r="D52" i="13" s="1"/>
  <c r="F52" i="13" a="1"/>
  <c r="F52" i="13" s="1"/>
  <c r="G52" i="13" a="1"/>
  <c r="G52" i="13" s="1"/>
  <c r="H52" i="13" a="1"/>
  <c r="H52" i="13" s="1"/>
  <c r="I52" i="13" a="1"/>
  <c r="I52" i="13" s="1"/>
  <c r="J52" i="13" a="1"/>
  <c r="J52" i="13" s="1"/>
  <c r="K52" i="13" a="1"/>
  <c r="K52" i="13" s="1"/>
  <c r="A51" i="13" a="1"/>
  <c r="A51" i="13" s="1"/>
  <c r="C51" i="13" a="1"/>
  <c r="C51" i="13" s="1"/>
  <c r="D51" i="13" a="1"/>
  <c r="D51" i="13" s="1"/>
  <c r="F51" i="13" a="1"/>
  <c r="F51" i="13" s="1"/>
  <c r="G51" i="13" a="1"/>
  <c r="G51" i="13" s="1"/>
  <c r="H51" i="13" a="1"/>
  <c r="H51" i="13" s="1"/>
  <c r="I51" i="13" a="1"/>
  <c r="I51" i="13" s="1"/>
  <c r="J51" i="13" a="1"/>
  <c r="J51" i="13" s="1"/>
  <c r="K51" i="13" a="1"/>
  <c r="K51" i="13" s="1"/>
  <c r="A50" i="13" a="1"/>
  <c r="A50" i="13" s="1"/>
  <c r="C50" i="13" a="1"/>
  <c r="C50" i="13" s="1"/>
  <c r="D50" i="13" a="1"/>
  <c r="D50" i="13" s="1"/>
  <c r="F50" i="13" a="1"/>
  <c r="F50" i="13" s="1"/>
  <c r="G50" i="13" a="1"/>
  <c r="G50" i="13" s="1"/>
  <c r="H50" i="13" a="1"/>
  <c r="H50" i="13" s="1"/>
  <c r="I50" i="13" a="1"/>
  <c r="I50" i="13" s="1"/>
  <c r="J50" i="13" a="1"/>
  <c r="J50" i="13" s="1"/>
  <c r="K50" i="13" a="1"/>
  <c r="K50" i="13" s="1"/>
  <c r="A49" i="13" a="1"/>
  <c r="A49" i="13" s="1"/>
  <c r="C49" i="13" a="1"/>
  <c r="C49" i="13" s="1"/>
  <c r="D49" i="13" a="1"/>
  <c r="D49" i="13" s="1"/>
  <c r="F49" i="13" a="1"/>
  <c r="F49" i="13" s="1"/>
  <c r="G49" i="13" a="1"/>
  <c r="G49" i="13" s="1"/>
  <c r="H49" i="13" a="1"/>
  <c r="H49" i="13" s="1"/>
  <c r="I49" i="13" a="1"/>
  <c r="I49" i="13" s="1"/>
  <c r="J49" i="13" a="1"/>
  <c r="J49" i="13" s="1"/>
  <c r="K49" i="13" a="1"/>
  <c r="K49" i="13" s="1"/>
  <c r="A48" i="13" a="1"/>
  <c r="A48" i="13" s="1"/>
  <c r="C48" i="13" a="1"/>
  <c r="C48" i="13" s="1"/>
  <c r="D48" i="13" a="1"/>
  <c r="D48" i="13" s="1"/>
  <c r="F48" i="13" a="1"/>
  <c r="F48" i="13" s="1"/>
  <c r="G48" i="13" a="1"/>
  <c r="G48" i="13" s="1"/>
  <c r="H48" i="13" a="1"/>
  <c r="H48" i="13" s="1"/>
  <c r="I48" i="13" a="1"/>
  <c r="I48" i="13" s="1"/>
  <c r="J48" i="13" a="1"/>
  <c r="J48" i="13" s="1"/>
  <c r="K48" i="13" a="1"/>
  <c r="K48" i="13" s="1"/>
  <c r="A47" i="13" a="1"/>
  <c r="A47" i="13" s="1"/>
  <c r="C47" i="13" a="1"/>
  <c r="C47" i="13" s="1"/>
  <c r="D47" i="13" a="1"/>
  <c r="D47" i="13" s="1"/>
  <c r="E47" i="13" a="1"/>
  <c r="E47" i="13" s="1"/>
  <c r="F47" i="13" a="1"/>
  <c r="F47" i="13" s="1"/>
  <c r="G47" i="13" a="1"/>
  <c r="G47" i="13" s="1"/>
  <c r="H47" i="13" a="1"/>
  <c r="H47" i="13" s="1"/>
  <c r="I47" i="13" a="1"/>
  <c r="I47" i="13" s="1"/>
  <c r="J47" i="13" a="1"/>
  <c r="J47" i="13" s="1"/>
  <c r="K47" i="13" a="1"/>
  <c r="K47" i="13" s="1"/>
  <c r="A46" i="13" a="1"/>
  <c r="A46" i="13" s="1"/>
  <c r="C46" i="13" a="1"/>
  <c r="C46" i="13" s="1"/>
  <c r="D46" i="13" a="1"/>
  <c r="D46" i="13" s="1"/>
  <c r="E46" i="13" a="1"/>
  <c r="E46" i="13" s="1"/>
  <c r="F46" i="13" a="1"/>
  <c r="F46" i="13" s="1"/>
  <c r="G46" i="13" a="1"/>
  <c r="G46" i="13" s="1"/>
  <c r="H46" i="13" a="1"/>
  <c r="H46" i="13" s="1"/>
  <c r="I46" i="13" a="1"/>
  <c r="I46" i="13" s="1"/>
  <c r="J46" i="13" a="1"/>
  <c r="J46" i="13" s="1"/>
  <c r="K46" i="13" a="1"/>
  <c r="K46" i="13" s="1"/>
  <c r="A45" i="13" a="1"/>
  <c r="A45" i="13" s="1"/>
  <c r="C45" i="13" a="1"/>
  <c r="C45" i="13" s="1"/>
  <c r="D45" i="13" a="1"/>
  <c r="D45" i="13" s="1"/>
  <c r="E45" i="13" a="1"/>
  <c r="E45" i="13" s="1"/>
  <c r="F45" i="13" a="1"/>
  <c r="F45" i="13" s="1"/>
  <c r="G45" i="13" a="1"/>
  <c r="G45" i="13" s="1"/>
  <c r="H45" i="13" a="1"/>
  <c r="H45" i="13" s="1"/>
  <c r="I45" i="13" a="1"/>
  <c r="I45" i="13" s="1"/>
  <c r="J45" i="13" a="1"/>
  <c r="J45" i="13" s="1"/>
  <c r="K45" i="13" a="1"/>
  <c r="K45" i="13" s="1"/>
  <c r="A44" i="13" a="1"/>
  <c r="A44" i="13" s="1"/>
  <c r="C44" i="13" a="1"/>
  <c r="C44" i="13" s="1"/>
  <c r="D44" i="13" a="1"/>
  <c r="D44" i="13" s="1"/>
  <c r="E44" i="13" a="1"/>
  <c r="E44" i="13" s="1"/>
  <c r="F44" i="13" a="1"/>
  <c r="F44" i="13" s="1"/>
  <c r="G44" i="13" a="1"/>
  <c r="G44" i="13" s="1"/>
  <c r="H44" i="13" a="1"/>
  <c r="H44" i="13" s="1"/>
  <c r="I44" i="13" a="1"/>
  <c r="I44" i="13" s="1"/>
  <c r="J44" i="13" a="1"/>
  <c r="J44" i="13" s="1"/>
  <c r="K44" i="13" a="1"/>
  <c r="K44" i="13" s="1"/>
  <c r="A43" i="13" a="1"/>
  <c r="A43" i="13" s="1"/>
  <c r="C43" i="13" a="1"/>
  <c r="C43" i="13" s="1"/>
  <c r="D43" i="13" a="1"/>
  <c r="D43" i="13" s="1"/>
  <c r="E43" i="13" a="1"/>
  <c r="E43" i="13" s="1"/>
  <c r="F43" i="13" a="1"/>
  <c r="F43" i="13" s="1"/>
  <c r="G43" i="13" a="1"/>
  <c r="G43" i="13" s="1"/>
  <c r="H43" i="13" a="1"/>
  <c r="H43" i="13" s="1"/>
  <c r="I43" i="13" a="1"/>
  <c r="I43" i="13" s="1"/>
  <c r="J43" i="13" a="1"/>
  <c r="J43" i="13" s="1"/>
  <c r="K43" i="13" a="1"/>
  <c r="K43" i="13" s="1"/>
  <c r="A42" i="13" a="1"/>
  <c r="A42" i="13" s="1"/>
  <c r="C42" i="13" a="1"/>
  <c r="C42" i="13" s="1"/>
  <c r="D42" i="13" a="1"/>
  <c r="D42" i="13" s="1"/>
  <c r="E42" i="13" a="1"/>
  <c r="E42" i="13" s="1"/>
  <c r="F42" i="13" a="1"/>
  <c r="F42" i="13" s="1"/>
  <c r="G42" i="13" a="1"/>
  <c r="G42" i="13" s="1"/>
  <c r="H42" i="13" a="1"/>
  <c r="H42" i="13" s="1"/>
  <c r="I42" i="13" a="1"/>
  <c r="I42" i="13" s="1"/>
  <c r="J42" i="13" a="1"/>
  <c r="J42" i="13" s="1"/>
  <c r="K42" i="13" a="1"/>
  <c r="K42" i="13" s="1"/>
  <c r="A41" i="13" a="1"/>
  <c r="A41" i="13" s="1"/>
  <c r="C41" i="13" a="1"/>
  <c r="C41" i="13" s="1"/>
  <c r="D41" i="13" a="1"/>
  <c r="D41" i="13" s="1"/>
  <c r="E41" i="13" a="1"/>
  <c r="E41" i="13" s="1"/>
  <c r="F41" i="13" a="1"/>
  <c r="F41" i="13" s="1"/>
  <c r="G41" i="13" a="1"/>
  <c r="G41" i="13" s="1"/>
  <c r="H41" i="13" a="1"/>
  <c r="H41" i="13" s="1"/>
  <c r="I41" i="13" a="1"/>
  <c r="I41" i="13" s="1"/>
  <c r="J41" i="13" a="1"/>
  <c r="J41" i="13" s="1"/>
  <c r="K41" i="13" a="1"/>
  <c r="K41" i="13" s="1"/>
  <c r="K40" i="13" a="1"/>
  <c r="K40" i="13" s="1"/>
  <c r="K39" i="13" a="1"/>
  <c r="K39" i="13" s="1"/>
  <c r="K38" i="13" a="1"/>
  <c r="K38" i="13" s="1"/>
  <c r="K37" i="13" a="1"/>
  <c r="K37" i="13" s="1"/>
  <c r="K36" i="13" a="1"/>
  <c r="K36" i="13" s="1"/>
  <c r="K35" i="13" a="1"/>
  <c r="K35" i="13" s="1"/>
  <c r="K34" i="13" a="1"/>
  <c r="K34" i="13" s="1"/>
  <c r="K33" i="13" a="1"/>
  <c r="K33" i="13" s="1"/>
  <c r="K32" i="13" a="1"/>
  <c r="K32" i="13" s="1"/>
  <c r="K31" i="13" a="1"/>
  <c r="K31" i="13" s="1"/>
  <c r="K30" i="13" a="1"/>
  <c r="K30" i="13" s="1"/>
  <c r="K29" i="13" a="1"/>
  <c r="K29" i="13" s="1"/>
  <c r="K28" i="13" a="1"/>
  <c r="K28" i="13" s="1"/>
  <c r="K27" i="13" a="1"/>
  <c r="K27" i="13" s="1"/>
  <c r="K26" i="13" a="1"/>
  <c r="K26" i="13" s="1"/>
  <c r="K25" i="13" a="1"/>
  <c r="K25" i="13" s="1"/>
  <c r="K24" i="13" a="1"/>
  <c r="K24" i="13" s="1"/>
  <c r="K23" i="13" a="1"/>
  <c r="K23" i="13" s="1"/>
  <c r="K22" i="13" a="1"/>
  <c r="K22" i="13" s="1"/>
  <c r="K21" i="13" a="1"/>
  <c r="K21" i="13" s="1"/>
  <c r="K20" i="13" a="1"/>
  <c r="K20" i="13" s="1"/>
  <c r="K19" i="13" a="1"/>
  <c r="K19" i="13" s="1"/>
  <c r="K18" i="13" a="1"/>
  <c r="K18" i="13" s="1"/>
  <c r="K17" i="13" a="1"/>
  <c r="K17" i="13" s="1"/>
  <c r="K16" i="13" a="1"/>
  <c r="K16" i="13" s="1"/>
  <c r="K15" i="13" a="1"/>
  <c r="K15" i="13" s="1"/>
  <c r="K14" i="13" a="1"/>
  <c r="K14" i="13" s="1"/>
  <c r="K13" i="13" a="1"/>
  <c r="K13" i="13" s="1"/>
  <c r="K12" i="13" a="1"/>
  <c r="K12" i="13" s="1"/>
  <c r="K11" i="13" a="1"/>
  <c r="K11" i="13" s="1"/>
  <c r="K10" i="13" a="1"/>
  <c r="K10" i="13" s="1"/>
  <c r="K9" i="13" a="1"/>
  <c r="K9" i="13" s="1"/>
  <c r="K8" i="13" a="1"/>
  <c r="K8" i="13" s="1"/>
  <c r="K7" i="13" a="1"/>
  <c r="K7" i="13" s="1"/>
  <c r="K6" i="13" a="1"/>
  <c r="K6" i="13" s="1"/>
  <c r="K5" i="13" a="1"/>
  <c r="K5" i="13" s="1"/>
  <c r="K4" i="13" a="1"/>
  <c r="K4" i="13" s="1"/>
  <c r="K3" i="13" a="1"/>
  <c r="K3" i="13" s="1"/>
  <c r="K2" i="13" a="1"/>
  <c r="K2" i="13" s="1"/>
  <c r="J40" i="13" a="1"/>
  <c r="J40" i="13" s="1"/>
  <c r="I40" i="13" a="1"/>
  <c r="I40" i="13" s="1"/>
  <c r="H40" i="13" a="1"/>
  <c r="H40" i="13" s="1"/>
  <c r="G40" i="13" a="1"/>
  <c r="G40" i="13" s="1"/>
  <c r="F40" i="13" a="1"/>
  <c r="F40" i="13" s="1"/>
  <c r="E40" i="13" a="1"/>
  <c r="E40" i="13" s="1"/>
  <c r="D40" i="13" a="1"/>
  <c r="D40" i="13" s="1"/>
  <c r="C40" i="13" a="1"/>
  <c r="C40" i="13" s="1"/>
  <c r="A40" i="13" a="1"/>
  <c r="A40" i="13" s="1"/>
  <c r="J39" i="13" a="1"/>
  <c r="J39" i="13" s="1"/>
  <c r="I39" i="13" a="1"/>
  <c r="I39" i="13" s="1"/>
  <c r="H39" i="13" a="1"/>
  <c r="H39" i="13" s="1"/>
  <c r="G39" i="13" a="1"/>
  <c r="G39" i="13" s="1"/>
  <c r="F39" i="13" a="1"/>
  <c r="F39" i="13" s="1"/>
  <c r="D39" i="13" a="1"/>
  <c r="D39" i="13" s="1"/>
  <c r="C39" i="13" a="1"/>
  <c r="C39" i="13" s="1"/>
  <c r="A39" i="13" a="1"/>
  <c r="A39" i="13" s="1"/>
  <c r="J38" i="13" a="1"/>
  <c r="J38" i="13" s="1"/>
  <c r="I38" i="13" a="1"/>
  <c r="I38" i="13" s="1"/>
  <c r="H38" i="13" a="1"/>
  <c r="H38" i="13" s="1"/>
  <c r="G38" i="13" a="1"/>
  <c r="G38" i="13" s="1"/>
  <c r="F38" i="13" a="1"/>
  <c r="F38" i="13" s="1"/>
  <c r="D38" i="13" a="1"/>
  <c r="D38" i="13" s="1"/>
  <c r="C38" i="13" a="1"/>
  <c r="C38" i="13" s="1"/>
  <c r="A38" i="13" a="1"/>
  <c r="A38" i="13" s="1"/>
  <c r="J37" i="13" a="1"/>
  <c r="J37" i="13" s="1"/>
  <c r="I37" i="13" a="1"/>
  <c r="I37" i="13" s="1"/>
  <c r="H37" i="13" a="1"/>
  <c r="H37" i="13" s="1"/>
  <c r="G37" i="13" a="1"/>
  <c r="G37" i="13" s="1"/>
  <c r="F37" i="13" a="1"/>
  <c r="F37" i="13" s="1"/>
  <c r="E37" i="13" a="1"/>
  <c r="E37" i="13" s="1"/>
  <c r="D37" i="13" a="1"/>
  <c r="D37" i="13" s="1"/>
  <c r="C37" i="13" a="1"/>
  <c r="C37" i="13" s="1"/>
  <c r="A37" i="13" a="1"/>
  <c r="A37" i="13" s="1"/>
  <c r="J36" i="13" a="1"/>
  <c r="J36" i="13" s="1"/>
  <c r="I36" i="13" a="1"/>
  <c r="I36" i="13" s="1"/>
  <c r="H36" i="13" a="1"/>
  <c r="H36" i="13" s="1"/>
  <c r="G36" i="13" a="1"/>
  <c r="G36" i="13" s="1"/>
  <c r="F36" i="13" a="1"/>
  <c r="F36" i="13" s="1"/>
  <c r="E36" i="13" a="1"/>
  <c r="E36" i="13" s="1"/>
  <c r="D36" i="13" a="1"/>
  <c r="D36" i="13" s="1"/>
  <c r="C36" i="13" a="1"/>
  <c r="C36" i="13" s="1"/>
  <c r="A36" i="13" a="1"/>
  <c r="A36" i="13" s="1"/>
  <c r="J35" i="13" a="1"/>
  <c r="J35" i="13" s="1"/>
  <c r="I35" i="13" a="1"/>
  <c r="I35" i="13" s="1"/>
  <c r="H35" i="13" a="1"/>
  <c r="H35" i="13" s="1"/>
  <c r="G35" i="13" a="1"/>
  <c r="G35" i="13" s="1"/>
  <c r="F35" i="13" a="1"/>
  <c r="F35" i="13" s="1"/>
  <c r="E35" i="13" a="1"/>
  <c r="E35" i="13" s="1"/>
  <c r="D35" i="13" a="1"/>
  <c r="D35" i="13" s="1"/>
  <c r="C35" i="13" a="1"/>
  <c r="C35" i="13" s="1"/>
  <c r="A35" i="13" a="1"/>
  <c r="A35" i="13" s="1"/>
  <c r="J34" i="13" a="1"/>
  <c r="J34" i="13" s="1"/>
  <c r="I34" i="13" a="1"/>
  <c r="I34" i="13" s="1"/>
  <c r="H34" i="13" a="1"/>
  <c r="H34" i="13" s="1"/>
  <c r="G34" i="13" a="1"/>
  <c r="G34" i="13" s="1"/>
  <c r="F34" i="13" a="1"/>
  <c r="F34" i="13" s="1"/>
  <c r="D34" i="13" a="1"/>
  <c r="D34" i="13" s="1"/>
  <c r="C34" i="13" a="1"/>
  <c r="C34" i="13" s="1"/>
  <c r="A34" i="13" a="1"/>
  <c r="A34" i="13" s="1"/>
  <c r="J33" i="13" a="1"/>
  <c r="J33" i="13" s="1"/>
  <c r="I33" i="13" a="1"/>
  <c r="I33" i="13" s="1"/>
  <c r="H33" i="13" a="1"/>
  <c r="H33" i="13" s="1"/>
  <c r="G33" i="13" a="1"/>
  <c r="G33" i="13" s="1"/>
  <c r="F33" i="13" a="1"/>
  <c r="F33" i="13" s="1"/>
  <c r="E33" i="13" a="1"/>
  <c r="E33" i="13" s="1"/>
  <c r="D33" i="13" a="1"/>
  <c r="D33" i="13" s="1"/>
  <c r="C33" i="13" a="1"/>
  <c r="C33" i="13" s="1"/>
  <c r="A33" i="13" a="1"/>
  <c r="A33" i="13" s="1"/>
  <c r="G426" i="8" a="1"/>
  <c r="G426" i="8" s="1"/>
  <c r="F426" i="8" a="1"/>
  <c r="F426" i="8" s="1"/>
  <c r="E426" i="8" a="1"/>
  <c r="E426" i="8" s="1"/>
  <c r="G425" i="8" a="1"/>
  <c r="G425" i="8" s="1"/>
  <c r="F425" i="8" a="1"/>
  <c r="F425" i="8" s="1"/>
  <c r="E425" i="8" a="1"/>
  <c r="E425" i="8" s="1"/>
  <c r="G424" i="8" a="1"/>
  <c r="G424" i="8" s="1"/>
  <c r="G423" i="8" a="1"/>
  <c r="G423" i="8" s="1"/>
  <c r="G422" i="8" a="1"/>
  <c r="G422" i="8" s="1"/>
  <c r="G421" i="8" a="1"/>
  <c r="G421" i="8" s="1"/>
  <c r="G420" i="8" a="1"/>
  <c r="G420" i="8" s="1"/>
  <c r="F424" i="8" a="1"/>
  <c r="F424" i="8" s="1"/>
  <c r="F423" i="8" a="1"/>
  <c r="F423" i="8" s="1"/>
  <c r="F422" i="8" a="1"/>
  <c r="F422" i="8" s="1"/>
  <c r="F421" i="8" a="1"/>
  <c r="F421" i="8" s="1"/>
  <c r="F420" i="8" a="1"/>
  <c r="F420" i="8" s="1"/>
  <c r="E424" i="8" a="1"/>
  <c r="E424" i="8" s="1"/>
  <c r="E423" i="8" a="1"/>
  <c r="E423" i="8" s="1"/>
  <c r="E422" i="8" a="1"/>
  <c r="E422" i="8" s="1"/>
  <c r="E421" i="8" a="1"/>
  <c r="E421" i="8" s="1"/>
  <c r="E420" i="8" a="1"/>
  <c r="E420" i="8" s="1"/>
  <c r="A32" i="13" a="1"/>
  <c r="A32" i="13" s="1"/>
  <c r="C32" i="13" a="1"/>
  <c r="C32" i="13" s="1"/>
  <c r="D32" i="13" a="1"/>
  <c r="D32" i="13" s="1"/>
  <c r="E32" i="13" a="1"/>
  <c r="E32" i="13" s="1"/>
  <c r="F32" i="13" a="1"/>
  <c r="F32" i="13" s="1"/>
  <c r="G32" i="13" a="1"/>
  <c r="G32" i="13" s="1"/>
  <c r="H32" i="13" a="1"/>
  <c r="H32" i="13" s="1"/>
  <c r="I32" i="13" a="1"/>
  <c r="I32" i="13" s="1"/>
  <c r="J32" i="13" a="1"/>
  <c r="J32" i="13" s="1"/>
  <c r="A31" i="13" a="1"/>
  <c r="A31" i="13" s="1"/>
  <c r="C31" i="13" a="1"/>
  <c r="C31" i="13" s="1"/>
  <c r="D31" i="13" a="1"/>
  <c r="D31" i="13" s="1"/>
  <c r="E31" i="13" a="1"/>
  <c r="E31" i="13" s="1"/>
  <c r="F31" i="13" a="1"/>
  <c r="F31" i="13" s="1"/>
  <c r="G31" i="13" a="1"/>
  <c r="G31" i="13" s="1"/>
  <c r="H31" i="13" a="1"/>
  <c r="H31" i="13" s="1"/>
  <c r="I31" i="13" a="1"/>
  <c r="I31" i="13" s="1"/>
  <c r="J31" i="13" a="1"/>
  <c r="J31" i="13" s="1"/>
  <c r="A30" i="13" a="1"/>
  <c r="A30" i="13" s="1"/>
  <c r="C30" i="13" a="1"/>
  <c r="C30" i="13" s="1"/>
  <c r="D30" i="13" a="1"/>
  <c r="D30" i="13" s="1"/>
  <c r="E30" i="13" a="1"/>
  <c r="E30" i="13" s="1"/>
  <c r="F30" i="13" a="1"/>
  <c r="F30" i="13" s="1"/>
  <c r="G30" i="13" a="1"/>
  <c r="G30" i="13" s="1"/>
  <c r="H30" i="13" a="1"/>
  <c r="H30" i="13" s="1"/>
  <c r="I30" i="13" a="1"/>
  <c r="I30" i="13" s="1"/>
  <c r="J30" i="13" a="1"/>
  <c r="J30" i="13" s="1"/>
  <c r="A29" i="13" a="1"/>
  <c r="A29" i="13" s="1"/>
  <c r="C29" i="13" a="1"/>
  <c r="C29" i="13" s="1"/>
  <c r="D29" i="13" a="1"/>
  <c r="D29" i="13" s="1"/>
  <c r="E29" i="13" a="1"/>
  <c r="E29" i="13" s="1"/>
  <c r="F29" i="13" a="1"/>
  <c r="F29" i="13" s="1"/>
  <c r="G29" i="13" a="1"/>
  <c r="G29" i="13" s="1"/>
  <c r="H29" i="13" a="1"/>
  <c r="H29" i="13" s="1"/>
  <c r="I29" i="13" a="1"/>
  <c r="I29" i="13" s="1"/>
  <c r="J29" i="13" a="1"/>
  <c r="J29" i="13" s="1"/>
  <c r="A28" i="13" a="1"/>
  <c r="A28" i="13" s="1"/>
  <c r="C28" i="13" a="1"/>
  <c r="C28" i="13" s="1"/>
  <c r="D28" i="13" a="1"/>
  <c r="D28" i="13" s="1"/>
  <c r="E28" i="13" a="1"/>
  <c r="E28" i="13" s="1"/>
  <c r="F28" i="13" a="1"/>
  <c r="F28" i="13" s="1"/>
  <c r="G28" i="13" a="1"/>
  <c r="G28" i="13" s="1"/>
  <c r="H28" i="13" a="1"/>
  <c r="H28" i="13" s="1"/>
  <c r="I28" i="13" a="1"/>
  <c r="I28" i="13" s="1"/>
  <c r="J28" i="13" a="1"/>
  <c r="J28" i="13" s="1"/>
  <c r="A27" i="13" a="1"/>
  <c r="A27" i="13" s="1"/>
  <c r="C27" i="13" a="1"/>
  <c r="C27" i="13" s="1"/>
  <c r="D27" i="13" a="1"/>
  <c r="D27" i="13" s="1"/>
  <c r="E27" i="13" a="1"/>
  <c r="E27" i="13" s="1"/>
  <c r="F27" i="13" a="1"/>
  <c r="F27" i="13" s="1"/>
  <c r="G27" i="13" a="1"/>
  <c r="G27" i="13" s="1"/>
  <c r="H27" i="13" a="1"/>
  <c r="H27" i="13" s="1"/>
  <c r="I27" i="13" a="1"/>
  <c r="I27" i="13" s="1"/>
  <c r="J27" i="13" a="1"/>
  <c r="J27" i="13" s="1"/>
  <c r="J2" i="13" a="1"/>
  <c r="J2" i="13" s="1"/>
  <c r="J3" i="13" a="1"/>
  <c r="J3" i="13" s="1"/>
  <c r="J4" i="13" a="1"/>
  <c r="J4" i="13" s="1"/>
  <c r="J5" i="13" a="1"/>
  <c r="J5" i="13" s="1"/>
  <c r="J6" i="13" a="1"/>
  <c r="J6" i="13" s="1"/>
  <c r="J7" i="13" a="1"/>
  <c r="J7" i="13" s="1"/>
  <c r="J8" i="13" a="1"/>
  <c r="J8" i="13" s="1"/>
  <c r="J9" i="13" a="1"/>
  <c r="J9" i="13" s="1"/>
  <c r="J10" i="13" a="1"/>
  <c r="J10" i="13" s="1"/>
  <c r="J11" i="13" a="1"/>
  <c r="J11" i="13" s="1"/>
  <c r="J12" i="13" a="1"/>
  <c r="J12" i="13" s="1"/>
  <c r="J13" i="13" a="1"/>
  <c r="J13" i="13" s="1"/>
  <c r="J14" i="13" a="1"/>
  <c r="J14" i="13" s="1"/>
  <c r="J15" i="13" a="1"/>
  <c r="J15" i="13" s="1"/>
  <c r="J16" i="13" a="1"/>
  <c r="J16" i="13" s="1"/>
  <c r="J17" i="13" a="1"/>
  <c r="J17" i="13" s="1"/>
  <c r="J18" i="13" a="1"/>
  <c r="J18" i="13" s="1"/>
  <c r="J19" i="13" a="1"/>
  <c r="J19" i="13" s="1"/>
  <c r="J20" i="13" a="1"/>
  <c r="J20" i="13" s="1"/>
  <c r="J21" i="13" a="1"/>
  <c r="J21" i="13" s="1"/>
  <c r="J22" i="13" a="1"/>
  <c r="J22" i="13" s="1"/>
  <c r="J23" i="13" a="1"/>
  <c r="J23" i="13" s="1"/>
  <c r="J24" i="13" a="1"/>
  <c r="J24" i="13" s="1"/>
  <c r="J25" i="13" a="1"/>
  <c r="J25" i="13" s="1"/>
  <c r="J26" i="13" a="1"/>
  <c r="J26" i="13" s="1"/>
  <c r="E3" i="8" a="1"/>
  <c r="E3" i="8" s="1"/>
  <c r="E4" i="8" a="1"/>
  <c r="E4" i="8" s="1"/>
  <c r="E5" i="8" a="1"/>
  <c r="E5" i="8" s="1"/>
  <c r="E6" i="8" a="1"/>
  <c r="E6" i="8" s="1"/>
  <c r="E7" i="8" a="1"/>
  <c r="E7" i="8" s="1"/>
  <c r="E8" i="8" a="1"/>
  <c r="E8" i="8" s="1"/>
  <c r="E9" i="8" a="1"/>
  <c r="E9" i="8" s="1"/>
  <c r="E10" i="8" a="1"/>
  <c r="E10" i="8" s="1"/>
  <c r="E11" i="8" a="1"/>
  <c r="E11" i="8" s="1"/>
  <c r="E12" i="8" a="1"/>
  <c r="E12" i="8" s="1"/>
  <c r="E13" i="8" a="1"/>
  <c r="E13" i="8" s="1"/>
  <c r="E14" i="8" a="1"/>
  <c r="E14" i="8" s="1"/>
  <c r="E15" i="8" a="1"/>
  <c r="E15" i="8" s="1"/>
  <c r="E16" i="8" a="1"/>
  <c r="E16" i="8" s="1"/>
  <c r="E17" i="8" a="1"/>
  <c r="E17" i="8" s="1"/>
  <c r="E18" i="8" a="1"/>
  <c r="E18" i="8" s="1"/>
  <c r="E19" i="8" a="1"/>
  <c r="E19" i="8" s="1"/>
  <c r="E20" i="8" a="1"/>
  <c r="E20" i="8" s="1"/>
  <c r="E21" i="8" a="1"/>
  <c r="E21" i="8" s="1"/>
  <c r="E22" i="8" a="1"/>
  <c r="E22" i="8" s="1"/>
  <c r="E23" i="8" a="1"/>
  <c r="E23" i="8" s="1"/>
  <c r="E24" i="8" a="1"/>
  <c r="E24" i="8" s="1"/>
  <c r="E25" i="8" a="1"/>
  <c r="E25" i="8" s="1"/>
  <c r="E26" i="8" a="1"/>
  <c r="E26" i="8" s="1"/>
  <c r="E27" i="8" a="1"/>
  <c r="E27" i="8" s="1"/>
  <c r="E28" i="8" a="1"/>
  <c r="E28" i="8" s="1"/>
  <c r="E29" i="8" a="1"/>
  <c r="E29" i="8" s="1"/>
  <c r="E30" i="8" a="1"/>
  <c r="E30" i="8" s="1"/>
  <c r="E31" i="8" a="1"/>
  <c r="E31" i="8" s="1"/>
  <c r="E32" i="8" a="1"/>
  <c r="E32" i="8" s="1"/>
  <c r="E33" i="8" a="1"/>
  <c r="E33" i="8" s="1"/>
  <c r="E34" i="8" a="1"/>
  <c r="E34" i="8" s="1"/>
  <c r="E35" i="8" a="1"/>
  <c r="E35" i="8" s="1"/>
  <c r="E36" i="8" a="1"/>
  <c r="E36" i="8" s="1"/>
  <c r="E37" i="8" a="1"/>
  <c r="E37" i="8" s="1"/>
  <c r="E38" i="8" a="1"/>
  <c r="E38" i="8" s="1"/>
  <c r="E39" i="8" a="1"/>
  <c r="E39" i="8" s="1"/>
  <c r="E40" i="8" a="1"/>
  <c r="E40" i="8" s="1"/>
  <c r="E41" i="8" a="1"/>
  <c r="E41" i="8" s="1"/>
  <c r="E42" i="8" a="1"/>
  <c r="E42" i="8" s="1"/>
  <c r="E43" i="8" a="1"/>
  <c r="E43" i="8" s="1"/>
  <c r="E44" i="8" a="1"/>
  <c r="E44" i="8" s="1"/>
  <c r="E45" i="8" a="1"/>
  <c r="E45" i="8" s="1"/>
  <c r="E46" i="8" a="1"/>
  <c r="E46" i="8" s="1"/>
  <c r="E47" i="8" a="1"/>
  <c r="E47" i="8" s="1"/>
  <c r="E48" i="8" a="1"/>
  <c r="E48" i="8" s="1"/>
  <c r="E49" i="8" a="1"/>
  <c r="E49" i="8" s="1"/>
  <c r="E50" i="8" a="1"/>
  <c r="E50" i="8" s="1"/>
  <c r="E51" i="8" a="1"/>
  <c r="E51" i="8" s="1"/>
  <c r="E52" i="8" a="1"/>
  <c r="E52" i="8" s="1"/>
  <c r="E53" i="8" a="1"/>
  <c r="E53" i="8" s="1"/>
  <c r="E54" i="8" a="1"/>
  <c r="E54" i="8" s="1"/>
  <c r="E55" i="8" a="1"/>
  <c r="E55" i="8" s="1"/>
  <c r="E56" i="8" a="1"/>
  <c r="E56" i="8" s="1"/>
  <c r="E57" i="8" a="1"/>
  <c r="E57" i="8" s="1"/>
  <c r="E58" i="8" a="1"/>
  <c r="E58" i="8" s="1"/>
  <c r="E59" i="8" a="1"/>
  <c r="E59" i="8" s="1"/>
  <c r="E60" i="8" a="1"/>
  <c r="E60" i="8" s="1"/>
  <c r="E61" i="8" a="1"/>
  <c r="E61" i="8" s="1"/>
  <c r="E62" i="8" a="1"/>
  <c r="E62" i="8" s="1"/>
  <c r="E63" i="8" a="1"/>
  <c r="E63" i="8" s="1"/>
  <c r="E64" i="8" a="1"/>
  <c r="E64" i="8" s="1"/>
  <c r="E65" i="8" a="1"/>
  <c r="E65" i="8" s="1"/>
  <c r="E66" i="8" a="1"/>
  <c r="E66" i="8" s="1"/>
  <c r="E67" i="8" a="1"/>
  <c r="E67" i="8" s="1"/>
  <c r="E68" i="8" a="1"/>
  <c r="E68" i="8" s="1"/>
  <c r="E69" i="8" a="1"/>
  <c r="E69" i="8" s="1"/>
  <c r="E70" i="8" a="1"/>
  <c r="E70" i="8" s="1"/>
  <c r="E71" i="8" a="1"/>
  <c r="E71" i="8" s="1"/>
  <c r="E72" i="8" a="1"/>
  <c r="E72" i="8" s="1"/>
  <c r="E73" i="8" a="1"/>
  <c r="E73" i="8" s="1"/>
  <c r="E74" i="8" a="1"/>
  <c r="E74" i="8" s="1"/>
  <c r="E75" i="8" a="1"/>
  <c r="E75" i="8" s="1"/>
  <c r="E76" i="8" a="1"/>
  <c r="E76" i="8" s="1"/>
  <c r="E77" i="8" a="1"/>
  <c r="E77" i="8" s="1"/>
  <c r="E78" i="8" a="1"/>
  <c r="E78" i="8" s="1"/>
  <c r="E79" i="8" a="1"/>
  <c r="E79" i="8" s="1"/>
  <c r="E80" i="8" a="1"/>
  <c r="E80" i="8" s="1"/>
  <c r="E81" i="8" a="1"/>
  <c r="E81" i="8" s="1"/>
  <c r="E82" i="8" a="1"/>
  <c r="E82" i="8" s="1"/>
  <c r="E83" i="8" a="1"/>
  <c r="E83" i="8" s="1"/>
  <c r="E84" i="8" a="1"/>
  <c r="E84" i="8" s="1"/>
  <c r="E85" i="8" a="1"/>
  <c r="E85" i="8" s="1"/>
  <c r="E86" i="8" a="1"/>
  <c r="E86" i="8" s="1"/>
  <c r="E87" i="8" a="1"/>
  <c r="E87" i="8" s="1"/>
  <c r="E88" i="8" a="1"/>
  <c r="E88" i="8" s="1"/>
  <c r="E89" i="8" a="1"/>
  <c r="E89" i="8" s="1"/>
  <c r="E90" i="8" a="1"/>
  <c r="E90" i="8" s="1"/>
  <c r="E91" i="8" a="1"/>
  <c r="E91" i="8" s="1"/>
  <c r="E92" i="8" a="1"/>
  <c r="E92" i="8" s="1"/>
  <c r="E93" i="8" a="1"/>
  <c r="E93" i="8" s="1"/>
  <c r="E94" i="8" a="1"/>
  <c r="E94" i="8" s="1"/>
  <c r="E95" i="8" a="1"/>
  <c r="E95" i="8" s="1"/>
  <c r="E96" i="8" a="1"/>
  <c r="E96" i="8" s="1"/>
  <c r="E97" i="8" a="1"/>
  <c r="E97" i="8" s="1"/>
  <c r="E98" i="8" a="1"/>
  <c r="E98" i="8" s="1"/>
  <c r="E99" i="8" a="1"/>
  <c r="E99" i="8" s="1"/>
  <c r="E100" i="8" a="1"/>
  <c r="E100" i="8" s="1"/>
  <c r="E101" i="8" a="1"/>
  <c r="E101" i="8" s="1"/>
  <c r="E102" i="8" a="1"/>
  <c r="E102" i="8" s="1"/>
  <c r="E103" i="8" a="1"/>
  <c r="E103" i="8" s="1"/>
  <c r="E104" i="8" a="1"/>
  <c r="E104" i="8" s="1"/>
  <c r="E105" i="8" a="1"/>
  <c r="E105" i="8" s="1"/>
  <c r="E106" i="8" a="1"/>
  <c r="E106" i="8" s="1"/>
  <c r="E107" i="8" a="1"/>
  <c r="E107" i="8" s="1"/>
  <c r="E108" i="8" a="1"/>
  <c r="E108" i="8" s="1"/>
  <c r="E109" i="8" a="1"/>
  <c r="E109" i="8" s="1"/>
  <c r="E110" i="8" a="1"/>
  <c r="E110" i="8" s="1"/>
  <c r="E111" i="8" a="1"/>
  <c r="E111" i="8" s="1"/>
  <c r="E112" i="8" a="1"/>
  <c r="E112" i="8" s="1"/>
  <c r="E113" i="8" a="1"/>
  <c r="E113" i="8" s="1"/>
  <c r="E114" i="8" a="1"/>
  <c r="E114" i="8" s="1"/>
  <c r="E115" i="8" a="1"/>
  <c r="E115" i="8" s="1"/>
  <c r="E116" i="8" a="1"/>
  <c r="E116" i="8" s="1"/>
  <c r="E117" i="8" a="1"/>
  <c r="E117" i="8" s="1"/>
  <c r="E118" i="8" a="1"/>
  <c r="E118" i="8" s="1"/>
  <c r="E119" i="8" a="1"/>
  <c r="E119" i="8" s="1"/>
  <c r="E120" i="8" a="1"/>
  <c r="E120" i="8" s="1"/>
  <c r="E121" i="8" a="1"/>
  <c r="E121" i="8" s="1"/>
  <c r="E122" i="8" a="1"/>
  <c r="E122" i="8" s="1"/>
  <c r="E123" i="8" a="1"/>
  <c r="E123" i="8" s="1"/>
  <c r="E124" i="8" a="1"/>
  <c r="E124" i="8" s="1"/>
  <c r="E125" i="8" a="1"/>
  <c r="E125" i="8" s="1"/>
  <c r="E126" i="8" a="1"/>
  <c r="E126" i="8" s="1"/>
  <c r="E127" i="8" a="1"/>
  <c r="E127" i="8" s="1"/>
  <c r="E128" i="8" a="1"/>
  <c r="E128" i="8" s="1"/>
  <c r="E129" i="8" a="1"/>
  <c r="E129" i="8" s="1"/>
  <c r="E130" i="8" a="1"/>
  <c r="E130" i="8" s="1"/>
  <c r="E131" i="8" a="1"/>
  <c r="E131" i="8" s="1"/>
  <c r="E132" i="8" a="1"/>
  <c r="E132" i="8" s="1"/>
  <c r="E133" i="8" a="1"/>
  <c r="E133" i="8" s="1"/>
  <c r="E134" i="8" a="1"/>
  <c r="E134" i="8" s="1"/>
  <c r="E135" i="8" a="1"/>
  <c r="E135" i="8" s="1"/>
  <c r="E136" i="8" a="1"/>
  <c r="E136" i="8" s="1"/>
  <c r="E137" i="8" a="1"/>
  <c r="E137" i="8" s="1"/>
  <c r="E138" i="8" a="1"/>
  <c r="E138" i="8" s="1"/>
  <c r="E139" i="8" a="1"/>
  <c r="E139" i="8" s="1"/>
  <c r="E140" i="8" a="1"/>
  <c r="E140" i="8" s="1"/>
  <c r="E141" i="8" a="1"/>
  <c r="E141" i="8" s="1"/>
  <c r="E142" i="8" a="1"/>
  <c r="E142" i="8" s="1"/>
  <c r="E143" i="8" a="1"/>
  <c r="E143" i="8" s="1"/>
  <c r="E144" i="8" a="1"/>
  <c r="E144" i="8" s="1"/>
  <c r="E145" i="8" a="1"/>
  <c r="E145" i="8" s="1"/>
  <c r="E146" i="8" a="1"/>
  <c r="E146" i="8" s="1"/>
  <c r="E147" i="8" a="1"/>
  <c r="E147" i="8" s="1"/>
  <c r="E148" i="8" a="1"/>
  <c r="E148" i="8" s="1"/>
  <c r="E149" i="8" a="1"/>
  <c r="E149" i="8" s="1"/>
  <c r="E150" i="8" a="1"/>
  <c r="E150" i="8" s="1"/>
  <c r="E151" i="8" a="1"/>
  <c r="E151" i="8" s="1"/>
  <c r="E152" i="8" a="1"/>
  <c r="E152" i="8" s="1"/>
  <c r="E153" i="8" a="1"/>
  <c r="E153" i="8" s="1"/>
  <c r="E154" i="8" a="1"/>
  <c r="E154" i="8" s="1"/>
  <c r="E155" i="8" a="1"/>
  <c r="E155" i="8" s="1"/>
  <c r="E156" i="8" a="1"/>
  <c r="E156" i="8" s="1"/>
  <c r="E157" i="8" a="1"/>
  <c r="E157" i="8" s="1"/>
  <c r="E158" i="8" a="1"/>
  <c r="E158" i="8" s="1"/>
  <c r="E159" i="8" a="1"/>
  <c r="E159" i="8" s="1"/>
  <c r="E160" i="8" a="1"/>
  <c r="E160" i="8" s="1"/>
  <c r="E161" i="8" a="1"/>
  <c r="E161" i="8" s="1"/>
  <c r="E162" i="8" a="1"/>
  <c r="E162" i="8" s="1"/>
  <c r="E163" i="8" a="1"/>
  <c r="E163" i="8" s="1"/>
  <c r="E164" i="8" a="1"/>
  <c r="E164" i="8" s="1"/>
  <c r="E165" i="8" a="1"/>
  <c r="E165" i="8" s="1"/>
  <c r="E166" i="8" a="1"/>
  <c r="E166" i="8" s="1"/>
  <c r="E167" i="8" a="1"/>
  <c r="E167" i="8" s="1"/>
  <c r="E168" i="8" a="1"/>
  <c r="E168" i="8" s="1"/>
  <c r="E169" i="8" a="1"/>
  <c r="E169" i="8" s="1"/>
  <c r="E170" i="8" a="1"/>
  <c r="E170" i="8" s="1"/>
  <c r="E171" i="8" a="1"/>
  <c r="E171" i="8" s="1"/>
  <c r="E172" i="8" a="1"/>
  <c r="E172" i="8" s="1"/>
  <c r="E173" i="8" a="1"/>
  <c r="E173" i="8" s="1"/>
  <c r="E174" i="8" a="1"/>
  <c r="E174" i="8" s="1"/>
  <c r="E175" i="8" a="1"/>
  <c r="E175" i="8" s="1"/>
  <c r="E176" i="8" a="1"/>
  <c r="E176" i="8" s="1"/>
  <c r="E177" i="8" a="1"/>
  <c r="E177" i="8" s="1"/>
  <c r="E178" i="8" a="1"/>
  <c r="E178" i="8" s="1"/>
  <c r="E179" i="8" a="1"/>
  <c r="E179" i="8" s="1"/>
  <c r="E180" i="8" a="1"/>
  <c r="E180" i="8" s="1"/>
  <c r="E181" i="8" a="1"/>
  <c r="E181" i="8" s="1"/>
  <c r="E182" i="8" a="1"/>
  <c r="E182" i="8" s="1"/>
  <c r="E183" i="8" a="1"/>
  <c r="E183" i="8" s="1"/>
  <c r="E184" i="8" a="1"/>
  <c r="E184" i="8" s="1"/>
  <c r="E185" i="8" a="1"/>
  <c r="E185" i="8" s="1"/>
  <c r="E186" i="8" a="1"/>
  <c r="E186" i="8" s="1"/>
  <c r="E187" i="8" a="1"/>
  <c r="E187" i="8" s="1"/>
  <c r="E188" i="8" a="1"/>
  <c r="E188" i="8" s="1"/>
  <c r="E189" i="8" a="1"/>
  <c r="E189" i="8" s="1"/>
  <c r="E190" i="8" a="1"/>
  <c r="E190" i="8" s="1"/>
  <c r="E191" i="8" a="1"/>
  <c r="E191" i="8" s="1"/>
  <c r="E192" i="8" a="1"/>
  <c r="E192" i="8" s="1"/>
  <c r="E193" i="8" a="1"/>
  <c r="E193" i="8" s="1"/>
  <c r="E194" i="8" a="1"/>
  <c r="E194" i="8" s="1"/>
  <c r="E195" i="8" a="1"/>
  <c r="E195" i="8" s="1"/>
  <c r="E196" i="8" a="1"/>
  <c r="E196" i="8" s="1"/>
  <c r="E197" i="8" a="1"/>
  <c r="E197" i="8" s="1"/>
  <c r="E198" i="8" a="1"/>
  <c r="E198" i="8" s="1"/>
  <c r="E199" i="8" a="1"/>
  <c r="E199" i="8" s="1"/>
  <c r="E200" i="8" a="1"/>
  <c r="E200" i="8" s="1"/>
  <c r="E201" i="8" a="1"/>
  <c r="E201" i="8" s="1"/>
  <c r="E202" i="8" a="1"/>
  <c r="E202" i="8" s="1"/>
  <c r="E203" i="8" a="1"/>
  <c r="E203" i="8" s="1"/>
  <c r="E204" i="8" a="1"/>
  <c r="E204" i="8" s="1"/>
  <c r="E205" i="8" a="1"/>
  <c r="E205" i="8" s="1"/>
  <c r="E206" i="8" a="1"/>
  <c r="E206" i="8" s="1"/>
  <c r="E207" i="8" a="1"/>
  <c r="E207" i="8" s="1"/>
  <c r="E208" i="8" a="1"/>
  <c r="E208" i="8" s="1"/>
  <c r="E209" i="8" a="1"/>
  <c r="E209" i="8" s="1"/>
  <c r="E210" i="8" a="1"/>
  <c r="E210" i="8" s="1"/>
  <c r="E211" i="8" a="1"/>
  <c r="E211" i="8" s="1"/>
  <c r="E212" i="8" a="1"/>
  <c r="E212" i="8" s="1"/>
  <c r="E213" i="8" a="1"/>
  <c r="E213" i="8" s="1"/>
  <c r="E214" i="8" a="1"/>
  <c r="E214" i="8" s="1"/>
  <c r="E215" i="8" a="1"/>
  <c r="E215" i="8" s="1"/>
  <c r="E216" i="8" a="1"/>
  <c r="E216" i="8" s="1"/>
  <c r="E217" i="8" a="1"/>
  <c r="E217" i="8" s="1"/>
  <c r="E218" i="8" a="1"/>
  <c r="E218" i="8" s="1"/>
  <c r="E219" i="8" a="1"/>
  <c r="E219" i="8" s="1"/>
  <c r="E220" i="8" a="1"/>
  <c r="E220" i="8" s="1"/>
  <c r="E221" i="8" a="1"/>
  <c r="E221" i="8" s="1"/>
  <c r="E222" i="8" a="1"/>
  <c r="E222" i="8" s="1"/>
  <c r="E223" i="8" a="1"/>
  <c r="E223" i="8" s="1"/>
  <c r="E224" i="8" a="1"/>
  <c r="E224" i="8" s="1"/>
  <c r="E225" i="8" a="1"/>
  <c r="E225" i="8" s="1"/>
  <c r="E226" i="8" a="1"/>
  <c r="E226" i="8" s="1"/>
  <c r="E227" i="8" a="1"/>
  <c r="E227" i="8" s="1"/>
  <c r="E228" i="8" a="1"/>
  <c r="E228" i="8" s="1"/>
  <c r="E229" i="8" a="1"/>
  <c r="E229" i="8" s="1"/>
  <c r="E230" i="8" a="1"/>
  <c r="E230" i="8" s="1"/>
  <c r="E231" i="8" a="1"/>
  <c r="E231" i="8" s="1"/>
  <c r="E232" i="8" a="1"/>
  <c r="E232" i="8" s="1"/>
  <c r="E233" i="8" a="1"/>
  <c r="E233" i="8" s="1"/>
  <c r="E234" i="8" a="1"/>
  <c r="E234" i="8" s="1"/>
  <c r="E235" i="8" a="1"/>
  <c r="E235" i="8" s="1"/>
  <c r="E236" i="8" a="1"/>
  <c r="E236" i="8" s="1"/>
  <c r="E237" i="8" a="1"/>
  <c r="E237" i="8" s="1"/>
  <c r="E238" i="8" a="1"/>
  <c r="E238" i="8" s="1"/>
  <c r="E239" i="8" a="1"/>
  <c r="E239" i="8" s="1"/>
  <c r="E240" i="8" a="1"/>
  <c r="E240" i="8" s="1"/>
  <c r="E241" i="8" a="1"/>
  <c r="E241" i="8" s="1"/>
  <c r="E242" i="8" a="1"/>
  <c r="E242" i="8" s="1"/>
  <c r="E243" i="8" a="1"/>
  <c r="E243" i="8" s="1"/>
  <c r="E244" i="8" a="1"/>
  <c r="E244" i="8" s="1"/>
  <c r="E245" i="8" a="1"/>
  <c r="E245" i="8" s="1"/>
  <c r="E246" i="8" a="1"/>
  <c r="E246" i="8" s="1"/>
  <c r="E247" i="8" a="1"/>
  <c r="E247" i="8" s="1"/>
  <c r="E248" i="8" a="1"/>
  <c r="E248" i="8" s="1"/>
  <c r="E249" i="8" a="1"/>
  <c r="E249" i="8" s="1"/>
  <c r="E250" i="8" a="1"/>
  <c r="E250" i="8" s="1"/>
  <c r="E251" i="8" a="1"/>
  <c r="E251" i="8" s="1"/>
  <c r="E252" i="8" a="1"/>
  <c r="E252" i="8" s="1"/>
  <c r="E253" i="8" a="1"/>
  <c r="E253" i="8" s="1"/>
  <c r="E254" i="8" a="1"/>
  <c r="E254" i="8" s="1"/>
  <c r="E255" i="8" a="1"/>
  <c r="E255" i="8" s="1"/>
  <c r="E256" i="8" a="1"/>
  <c r="E256" i="8" s="1"/>
  <c r="E257" i="8" a="1"/>
  <c r="E257" i="8" s="1"/>
  <c r="E258" i="8" a="1"/>
  <c r="E258" i="8" s="1"/>
  <c r="E259" i="8" a="1"/>
  <c r="E259" i="8" s="1"/>
  <c r="E260" i="8" a="1"/>
  <c r="E260" i="8" s="1"/>
  <c r="E261" i="8" a="1"/>
  <c r="E261" i="8" s="1"/>
  <c r="E262" i="8" a="1"/>
  <c r="E262" i="8" s="1"/>
  <c r="E263" i="8" a="1"/>
  <c r="E263" i="8" s="1"/>
  <c r="E264" i="8" a="1"/>
  <c r="E264" i="8" s="1"/>
  <c r="E265" i="8" a="1"/>
  <c r="E265" i="8" s="1"/>
  <c r="E266" i="8" a="1"/>
  <c r="E266" i="8" s="1"/>
  <c r="E267" i="8" a="1"/>
  <c r="E267" i="8" s="1"/>
  <c r="E268" i="8" a="1"/>
  <c r="E268" i="8" s="1"/>
  <c r="E269" i="8" a="1"/>
  <c r="E269" i="8" s="1"/>
  <c r="E270" i="8" a="1"/>
  <c r="E270" i="8" s="1"/>
  <c r="E271" i="8" a="1"/>
  <c r="E271" i="8" s="1"/>
  <c r="E272" i="8" a="1"/>
  <c r="E272" i="8" s="1"/>
  <c r="E273" i="8" a="1"/>
  <c r="E273" i="8" s="1"/>
  <c r="E274" i="8" a="1"/>
  <c r="E274" i="8" s="1"/>
  <c r="E275" i="8" a="1"/>
  <c r="E275" i="8" s="1"/>
  <c r="E276" i="8" a="1"/>
  <c r="E276" i="8" s="1"/>
  <c r="E277" i="8" a="1"/>
  <c r="E277" i="8" s="1"/>
  <c r="E278" i="8" a="1"/>
  <c r="E278" i="8" s="1"/>
  <c r="E279" i="8" a="1"/>
  <c r="E279" i="8" s="1"/>
  <c r="E280" i="8" a="1"/>
  <c r="E280" i="8" s="1"/>
  <c r="E281" i="8" a="1"/>
  <c r="E281" i="8" s="1"/>
  <c r="E282" i="8" a="1"/>
  <c r="E282" i="8" s="1"/>
  <c r="E283" i="8" a="1"/>
  <c r="E283" i="8" s="1"/>
  <c r="E284" i="8" a="1"/>
  <c r="E284" i="8" s="1"/>
  <c r="E285" i="8" a="1"/>
  <c r="E285" i="8" s="1"/>
  <c r="E286" i="8" a="1"/>
  <c r="E286" i="8" s="1"/>
  <c r="E287" i="8" a="1"/>
  <c r="E287" i="8" s="1"/>
  <c r="E288" i="8" a="1"/>
  <c r="E288" i="8" s="1"/>
  <c r="E289" i="8" a="1"/>
  <c r="E289" i="8" s="1"/>
  <c r="E290" i="8" a="1"/>
  <c r="E290" i="8" s="1"/>
  <c r="E291" i="8" a="1"/>
  <c r="E291" i="8" s="1"/>
  <c r="E292" i="8" a="1"/>
  <c r="E292" i="8" s="1"/>
  <c r="E293" i="8" a="1"/>
  <c r="E293" i="8" s="1"/>
  <c r="E294" i="8" a="1"/>
  <c r="E294" i="8" s="1"/>
  <c r="E295" i="8" a="1"/>
  <c r="E295" i="8" s="1"/>
  <c r="E296" i="8" a="1"/>
  <c r="E296" i="8" s="1"/>
  <c r="E297" i="8" a="1"/>
  <c r="E297" i="8" s="1"/>
  <c r="E298" i="8" a="1"/>
  <c r="E298" i="8" s="1"/>
  <c r="E299" i="8" a="1"/>
  <c r="E299" i="8" s="1"/>
  <c r="E300" i="8" a="1"/>
  <c r="E300" i="8" s="1"/>
  <c r="E301" i="8" a="1"/>
  <c r="E301" i="8" s="1"/>
  <c r="E302" i="8" a="1"/>
  <c r="E302" i="8" s="1"/>
  <c r="E303" i="8" a="1"/>
  <c r="E303" i="8" s="1"/>
  <c r="E304" i="8" a="1"/>
  <c r="E304" i="8" s="1"/>
  <c r="E305" i="8" a="1"/>
  <c r="E305" i="8" s="1"/>
  <c r="E306" i="8" a="1"/>
  <c r="E306" i="8" s="1"/>
  <c r="E307" i="8" a="1"/>
  <c r="E307" i="8" s="1"/>
  <c r="E308" i="8" a="1"/>
  <c r="E308" i="8" s="1"/>
  <c r="E309" i="8" a="1"/>
  <c r="E309" i="8" s="1"/>
  <c r="E310" i="8" a="1"/>
  <c r="E310" i="8" s="1"/>
  <c r="E311" i="8" a="1"/>
  <c r="E311" i="8" s="1"/>
  <c r="E312" i="8" a="1"/>
  <c r="E312" i="8" s="1"/>
  <c r="E313" i="8" a="1"/>
  <c r="E313" i="8" s="1"/>
  <c r="E314" i="8" a="1"/>
  <c r="E314" i="8" s="1"/>
  <c r="E315" i="8" a="1"/>
  <c r="E315" i="8" s="1"/>
  <c r="E316" i="8" a="1"/>
  <c r="E316" i="8" s="1"/>
  <c r="E317" i="8" a="1"/>
  <c r="E317" i="8" s="1"/>
  <c r="E318" i="8" a="1"/>
  <c r="E318" i="8" s="1"/>
  <c r="E319" i="8" a="1"/>
  <c r="E319" i="8" s="1"/>
  <c r="E320" i="8" a="1"/>
  <c r="E320" i="8" s="1"/>
  <c r="E321" i="8" a="1"/>
  <c r="E321" i="8" s="1"/>
  <c r="E322" i="8" a="1"/>
  <c r="E322" i="8" s="1"/>
  <c r="E323" i="8" a="1"/>
  <c r="E323" i="8" s="1"/>
  <c r="E324" i="8" a="1"/>
  <c r="E324" i="8" s="1"/>
  <c r="E325" i="8" a="1"/>
  <c r="E325" i="8" s="1"/>
  <c r="E326" i="8" a="1"/>
  <c r="E326" i="8" s="1"/>
  <c r="E327" i="8" a="1"/>
  <c r="E327" i="8" s="1"/>
  <c r="E328" i="8" a="1"/>
  <c r="E328" i="8" s="1"/>
  <c r="E329" i="8" a="1"/>
  <c r="E329" i="8" s="1"/>
  <c r="E330" i="8" a="1"/>
  <c r="E330" i="8" s="1"/>
  <c r="E331" i="8" a="1"/>
  <c r="E331" i="8" s="1"/>
  <c r="E332" i="8" a="1"/>
  <c r="E332" i="8" s="1"/>
  <c r="E333" i="8" a="1"/>
  <c r="E333" i="8" s="1"/>
  <c r="E334" i="8" a="1"/>
  <c r="E334" i="8" s="1"/>
  <c r="E335" i="8" a="1"/>
  <c r="E335" i="8" s="1"/>
  <c r="E336" i="8" a="1"/>
  <c r="E336" i="8" s="1"/>
  <c r="E337" i="8" a="1"/>
  <c r="E337" i="8" s="1"/>
  <c r="E338" i="8" a="1"/>
  <c r="E338" i="8" s="1"/>
  <c r="E339" i="8" a="1"/>
  <c r="E339" i="8" s="1"/>
  <c r="E340" i="8" a="1"/>
  <c r="E340" i="8" s="1"/>
  <c r="E341" i="8" a="1"/>
  <c r="E341" i="8" s="1"/>
  <c r="E342" i="8" a="1"/>
  <c r="E342" i="8" s="1"/>
  <c r="E343" i="8" a="1"/>
  <c r="E343" i="8" s="1"/>
  <c r="E344" i="8" a="1"/>
  <c r="E344" i="8" s="1"/>
  <c r="E345" i="8" a="1"/>
  <c r="E345" i="8" s="1"/>
  <c r="E346" i="8" a="1"/>
  <c r="E346" i="8" s="1"/>
  <c r="E347" i="8" a="1"/>
  <c r="E347" i="8" s="1"/>
  <c r="E348" i="8" a="1"/>
  <c r="E348" i="8" s="1"/>
  <c r="E349" i="8" a="1"/>
  <c r="E349" i="8" s="1"/>
  <c r="E350" i="8" a="1"/>
  <c r="E350" i="8" s="1"/>
  <c r="E351" i="8" a="1"/>
  <c r="E351" i="8" s="1"/>
  <c r="E352" i="8" a="1"/>
  <c r="E352" i="8" s="1"/>
  <c r="E353" i="8" a="1"/>
  <c r="E353" i="8" s="1"/>
  <c r="E354" i="8" a="1"/>
  <c r="E354" i="8" s="1"/>
  <c r="E355" i="8" a="1"/>
  <c r="E355" i="8" s="1"/>
  <c r="E356" i="8" a="1"/>
  <c r="E356" i="8" s="1"/>
  <c r="E357" i="8" a="1"/>
  <c r="E357" i="8" s="1"/>
  <c r="E358" i="8" a="1"/>
  <c r="E358" i="8" s="1"/>
  <c r="E359" i="8" a="1"/>
  <c r="E359" i="8" s="1"/>
  <c r="E360" i="8" a="1"/>
  <c r="E360" i="8" s="1"/>
  <c r="E361" i="8" a="1"/>
  <c r="E361" i="8" s="1"/>
  <c r="E362" i="8" a="1"/>
  <c r="E362" i="8" s="1"/>
  <c r="E363" i="8" a="1"/>
  <c r="E363" i="8" s="1"/>
  <c r="E364" i="8" a="1"/>
  <c r="E364" i="8" s="1"/>
  <c r="E365" i="8" a="1"/>
  <c r="E365" i="8" s="1"/>
  <c r="E366" i="8" a="1"/>
  <c r="E366" i="8" s="1"/>
  <c r="E367" i="8" a="1"/>
  <c r="E367" i="8" s="1"/>
  <c r="E368" i="8" a="1"/>
  <c r="E368" i="8" s="1"/>
  <c r="E369" i="8" a="1"/>
  <c r="E369" i="8" s="1"/>
  <c r="E370" i="8" a="1"/>
  <c r="E370" i="8" s="1"/>
  <c r="E371" i="8" a="1"/>
  <c r="E371" i="8" s="1"/>
  <c r="E372" i="8" a="1"/>
  <c r="E372" i="8" s="1"/>
  <c r="E373" i="8" a="1"/>
  <c r="E373" i="8" s="1"/>
  <c r="E374" i="8" a="1"/>
  <c r="E374" i="8" s="1"/>
  <c r="E375" i="8" a="1"/>
  <c r="E375" i="8" s="1"/>
  <c r="E376" i="8" a="1"/>
  <c r="E376" i="8" s="1"/>
  <c r="E377" i="8" a="1"/>
  <c r="E377" i="8" s="1"/>
  <c r="E378" i="8" a="1"/>
  <c r="E378" i="8" s="1"/>
  <c r="E379" i="8" a="1"/>
  <c r="E379" i="8" s="1"/>
  <c r="E380" i="8" a="1"/>
  <c r="E380" i="8" s="1"/>
  <c r="E381" i="8" a="1"/>
  <c r="E381" i="8" s="1"/>
  <c r="E382" i="8" a="1"/>
  <c r="E382" i="8" s="1"/>
  <c r="E383" i="8" a="1"/>
  <c r="E383" i="8" s="1"/>
  <c r="E384" i="8" a="1"/>
  <c r="E384" i="8" s="1"/>
  <c r="E385" i="8" a="1"/>
  <c r="E385" i="8" s="1"/>
  <c r="E386" i="8" a="1"/>
  <c r="E386" i="8" s="1"/>
  <c r="E387" i="8" a="1"/>
  <c r="E387" i="8" s="1"/>
  <c r="E388" i="8" a="1"/>
  <c r="E388" i="8" s="1"/>
  <c r="E389" i="8" a="1"/>
  <c r="E389" i="8" s="1"/>
  <c r="E390" i="8" a="1"/>
  <c r="E390" i="8" s="1"/>
  <c r="E391" i="8" a="1"/>
  <c r="E391" i="8" s="1"/>
  <c r="E392" i="8" a="1"/>
  <c r="E392" i="8" s="1"/>
  <c r="E393" i="8" a="1"/>
  <c r="E393" i="8" s="1"/>
  <c r="E394" i="8" a="1"/>
  <c r="E394" i="8" s="1"/>
  <c r="E395" i="8" a="1"/>
  <c r="E395" i="8" s="1"/>
  <c r="E396" i="8" a="1"/>
  <c r="E396" i="8" s="1"/>
  <c r="E397" i="8" a="1"/>
  <c r="E397" i="8" s="1"/>
  <c r="E398" i="8" a="1"/>
  <c r="E398" i="8" s="1"/>
  <c r="E399" i="8" a="1"/>
  <c r="E399" i="8" s="1"/>
  <c r="E400" i="8" a="1"/>
  <c r="E400" i="8" s="1"/>
  <c r="E401" i="8" a="1"/>
  <c r="E401" i="8" s="1"/>
  <c r="E402" i="8" a="1"/>
  <c r="E402" i="8" s="1"/>
  <c r="E403" i="8" a="1"/>
  <c r="E403" i="8" s="1"/>
  <c r="E404" i="8" a="1"/>
  <c r="E404" i="8" s="1"/>
  <c r="E405" i="8" a="1"/>
  <c r="E405" i="8" s="1"/>
  <c r="E406" i="8" a="1"/>
  <c r="E406" i="8" s="1"/>
  <c r="E407" i="8" a="1"/>
  <c r="E407" i="8" s="1"/>
  <c r="E408" i="8" a="1"/>
  <c r="E408" i="8" s="1"/>
  <c r="E409" i="8" a="1"/>
  <c r="E409" i="8" s="1"/>
  <c r="E410" i="8" a="1"/>
  <c r="E410" i="8" s="1"/>
  <c r="E411" i="8" a="1"/>
  <c r="E411" i="8" s="1"/>
  <c r="E412" i="8" a="1"/>
  <c r="E412" i="8" s="1"/>
  <c r="E413" i="8" a="1"/>
  <c r="E413" i="8" s="1"/>
  <c r="E414" i="8" a="1"/>
  <c r="E414" i="8" s="1"/>
  <c r="E415" i="8" a="1"/>
  <c r="E415" i="8" s="1"/>
  <c r="E416" i="8" a="1"/>
  <c r="E416" i="8" s="1"/>
  <c r="E417" i="8" a="1"/>
  <c r="E417" i="8" s="1"/>
  <c r="E418" i="8" a="1"/>
  <c r="E418" i="8" s="1"/>
  <c r="E419" i="8" a="1"/>
  <c r="E419" i="8" s="1"/>
  <c r="E2" i="8" a="1"/>
  <c r="E2" i="8" s="1"/>
  <c r="G419" i="8" a="1"/>
  <c r="G419" i="8" s="1"/>
  <c r="F419" i="8" a="1"/>
  <c r="F419" i="8" s="1"/>
  <c r="G418" i="8" a="1"/>
  <c r="G418" i="8" s="1"/>
  <c r="F418" i="8" a="1"/>
  <c r="F418" i="8" s="1"/>
  <c r="A26" i="13" l="1" a="1"/>
  <c r="A26" i="13" s="1"/>
  <c r="C26" i="13" a="1"/>
  <c r="C26" i="13" s="1"/>
  <c r="D26" i="13" a="1"/>
  <c r="D26" i="13" s="1"/>
  <c r="E26" i="13" a="1"/>
  <c r="E26" i="13" s="1"/>
  <c r="F26" i="13" a="1"/>
  <c r="F26" i="13" s="1"/>
  <c r="G26" i="13" a="1"/>
  <c r="G26" i="13" s="1"/>
  <c r="H26" i="13" a="1"/>
  <c r="H26" i="13" s="1"/>
  <c r="I26" i="13" a="1"/>
  <c r="I26" i="13" s="1"/>
  <c r="I2" i="13" a="1"/>
  <c r="I2" i="13" s="1"/>
  <c r="I3" i="13" a="1"/>
  <c r="I3" i="13" s="1"/>
  <c r="I4" i="13" a="1"/>
  <c r="I4" i="13" s="1"/>
  <c r="I5" i="13" a="1"/>
  <c r="I5" i="13" s="1"/>
  <c r="I6" i="13" a="1"/>
  <c r="I6" i="13" s="1"/>
  <c r="I7" i="13" a="1"/>
  <c r="I7" i="13" s="1"/>
  <c r="I8" i="13" a="1"/>
  <c r="I8" i="13" s="1"/>
  <c r="I9" i="13" a="1"/>
  <c r="I9" i="13" s="1"/>
  <c r="I10" i="13" a="1"/>
  <c r="I10" i="13" s="1"/>
  <c r="I11" i="13" a="1"/>
  <c r="I11" i="13" s="1"/>
  <c r="I12" i="13" a="1"/>
  <c r="I12" i="13" s="1"/>
  <c r="I13" i="13" a="1"/>
  <c r="I13" i="13" s="1"/>
  <c r="I14" i="13" a="1"/>
  <c r="I14" i="13" s="1"/>
  <c r="I15" i="13" a="1"/>
  <c r="I15" i="13" s="1"/>
  <c r="I16" i="13" a="1"/>
  <c r="I16" i="13" s="1"/>
  <c r="I17" i="13" a="1"/>
  <c r="I17" i="13" s="1"/>
  <c r="I18" i="13" a="1"/>
  <c r="I18" i="13" s="1"/>
  <c r="I19" i="13" a="1"/>
  <c r="I19" i="13" s="1"/>
  <c r="I20" i="13" a="1"/>
  <c r="I20" i="13" s="1"/>
  <c r="I21" i="13" a="1"/>
  <c r="I21" i="13" s="1"/>
  <c r="I22" i="13" a="1"/>
  <c r="I22" i="13" s="1"/>
  <c r="I23" i="13" a="1"/>
  <c r="I23" i="13" s="1"/>
  <c r="I24" i="13" a="1"/>
  <c r="I24" i="13" s="1"/>
  <c r="I25" i="13" a="1"/>
  <c r="I25" i="13" s="1"/>
  <c r="H2" i="13" a="1"/>
  <c r="H2" i="13" s="1"/>
  <c r="H3" i="13" a="1"/>
  <c r="H3" i="13" s="1"/>
  <c r="H4" i="13" a="1"/>
  <c r="H4" i="13" s="1"/>
  <c r="H5" i="13" a="1"/>
  <c r="H5" i="13" s="1"/>
  <c r="H6" i="13" a="1"/>
  <c r="H6" i="13" s="1"/>
  <c r="H7" i="13" a="1"/>
  <c r="H7" i="13" s="1"/>
  <c r="H8" i="13" a="1"/>
  <c r="H8" i="13" s="1"/>
  <c r="H9" i="13" a="1"/>
  <c r="H9" i="13" s="1"/>
  <c r="H10" i="13" a="1"/>
  <c r="H10" i="13" s="1"/>
  <c r="H11" i="13" a="1"/>
  <c r="H11" i="13" s="1"/>
  <c r="H12" i="13" a="1"/>
  <c r="H12" i="13" s="1"/>
  <c r="H13" i="13" a="1"/>
  <c r="H13" i="13" s="1"/>
  <c r="H14" i="13" a="1"/>
  <c r="H14" i="13" s="1"/>
  <c r="H15" i="13" a="1"/>
  <c r="H15" i="13" s="1"/>
  <c r="H16" i="13" a="1"/>
  <c r="H16" i="13" s="1"/>
  <c r="H17" i="13" a="1"/>
  <c r="H17" i="13" s="1"/>
  <c r="H18" i="13" a="1"/>
  <c r="H18" i="13" s="1"/>
  <c r="H19" i="13" a="1"/>
  <c r="H19" i="13" s="1"/>
  <c r="H20" i="13" a="1"/>
  <c r="H20" i="13" s="1"/>
  <c r="H21" i="13" a="1"/>
  <c r="H21" i="13" s="1"/>
  <c r="H22" i="13" a="1"/>
  <c r="H22" i="13" s="1"/>
  <c r="H23" i="13" a="1"/>
  <c r="H23" i="13" s="1"/>
  <c r="H24" i="13" a="1"/>
  <c r="H24" i="13" s="1"/>
  <c r="H25" i="13" a="1"/>
  <c r="H25" i="13" s="1"/>
  <c r="G2" i="13" a="1"/>
  <c r="G2" i="13" s="1"/>
  <c r="G3" i="13" a="1"/>
  <c r="G3" i="13" s="1"/>
  <c r="G4" i="13" a="1"/>
  <c r="G4" i="13" s="1"/>
  <c r="G5" i="13" a="1"/>
  <c r="G5" i="13" s="1"/>
  <c r="G6" i="13" a="1"/>
  <c r="G6" i="13" s="1"/>
  <c r="G7" i="13" a="1"/>
  <c r="G7" i="13" s="1"/>
  <c r="G8" i="13" a="1"/>
  <c r="G8" i="13" s="1"/>
  <c r="G9" i="13" a="1"/>
  <c r="G9" i="13" s="1"/>
  <c r="G10" i="13" a="1"/>
  <c r="G10" i="13" s="1"/>
  <c r="G11" i="13" a="1"/>
  <c r="G11" i="13" s="1"/>
  <c r="G12" i="13" a="1"/>
  <c r="G12" i="13" s="1"/>
  <c r="G13" i="13" a="1"/>
  <c r="G13" i="13" s="1"/>
  <c r="G14" i="13" a="1"/>
  <c r="G14" i="13" s="1"/>
  <c r="G15" i="13" a="1"/>
  <c r="G15" i="13" s="1"/>
  <c r="G16" i="13" a="1"/>
  <c r="G16" i="13" s="1"/>
  <c r="G17" i="13" a="1"/>
  <c r="G17" i="13" s="1"/>
  <c r="G18" i="13" a="1"/>
  <c r="G18" i="13" s="1"/>
  <c r="G19" i="13" a="1"/>
  <c r="G19" i="13" s="1"/>
  <c r="G20" i="13" a="1"/>
  <c r="G20" i="13" s="1"/>
  <c r="G21" i="13" a="1"/>
  <c r="G21" i="13" s="1"/>
  <c r="G22" i="13" a="1"/>
  <c r="G22" i="13" s="1"/>
  <c r="G23" i="13" a="1"/>
  <c r="G23" i="13" s="1"/>
  <c r="G24" i="13" a="1"/>
  <c r="G24" i="13" s="1"/>
  <c r="G25" i="13" a="1"/>
  <c r="G25" i="13" s="1"/>
  <c r="F2" i="13" a="1"/>
  <c r="F2" i="13" s="1"/>
  <c r="F3" i="13" a="1"/>
  <c r="F3" i="13" s="1"/>
  <c r="F4" i="13" a="1"/>
  <c r="F4" i="13" s="1"/>
  <c r="F5" i="13" a="1"/>
  <c r="F5" i="13" s="1"/>
  <c r="F6" i="13" a="1"/>
  <c r="F6" i="13" s="1"/>
  <c r="F7" i="13" a="1"/>
  <c r="F7" i="13" s="1"/>
  <c r="F8" i="13" a="1"/>
  <c r="F8" i="13" s="1"/>
  <c r="F9" i="13" a="1"/>
  <c r="F9" i="13" s="1"/>
  <c r="F10" i="13" a="1"/>
  <c r="F10" i="13" s="1"/>
  <c r="F11" i="13" a="1"/>
  <c r="F11" i="13" s="1"/>
  <c r="F12" i="13" a="1"/>
  <c r="F12" i="13" s="1"/>
  <c r="F13" i="13" a="1"/>
  <c r="F13" i="13" s="1"/>
  <c r="F14" i="13" a="1"/>
  <c r="F14" i="13" s="1"/>
  <c r="F15" i="13" a="1"/>
  <c r="F15" i="13" s="1"/>
  <c r="F16" i="13" a="1"/>
  <c r="F16" i="13" s="1"/>
  <c r="F17" i="13" a="1"/>
  <c r="F17" i="13" s="1"/>
  <c r="F18" i="13" a="1"/>
  <c r="F18" i="13" s="1"/>
  <c r="F19" i="13" a="1"/>
  <c r="F19" i="13" s="1"/>
  <c r="F20" i="13" a="1"/>
  <c r="F20" i="13" s="1"/>
  <c r="F21" i="13" a="1"/>
  <c r="F21" i="13" s="1"/>
  <c r="F22" i="13" a="1"/>
  <c r="F22" i="13" s="1"/>
  <c r="F23" i="13" a="1"/>
  <c r="F23" i="13" s="1"/>
  <c r="F24" i="13" a="1"/>
  <c r="F24" i="13" s="1"/>
  <c r="F25" i="13" a="1"/>
  <c r="F25" i="13" s="1"/>
  <c r="E2" i="13" a="1"/>
  <c r="E2" i="13" s="1"/>
  <c r="E3" i="13" a="1"/>
  <c r="E3" i="13" s="1"/>
  <c r="E4" i="13" a="1"/>
  <c r="E4" i="13" s="1"/>
  <c r="E6" i="13" a="1"/>
  <c r="E6" i="13" s="1"/>
  <c r="E7" i="13" a="1"/>
  <c r="E7" i="13" s="1"/>
  <c r="E8" i="13" a="1"/>
  <c r="E8" i="13" s="1"/>
  <c r="E9" i="13" a="1"/>
  <c r="E9" i="13" s="1"/>
  <c r="E10" i="13" a="1"/>
  <c r="E10" i="13" s="1"/>
  <c r="E11" i="13" a="1"/>
  <c r="E11" i="13" s="1"/>
  <c r="E12" i="13" a="1"/>
  <c r="E12" i="13" s="1"/>
  <c r="E13" i="13" a="1"/>
  <c r="E13" i="13" s="1"/>
  <c r="E14" i="13" a="1"/>
  <c r="E14" i="13" s="1"/>
  <c r="E15" i="13" a="1"/>
  <c r="E15" i="13" s="1"/>
  <c r="E16" i="13" a="1"/>
  <c r="E16" i="13" s="1"/>
  <c r="E17" i="13" a="1"/>
  <c r="E17" i="13" s="1"/>
  <c r="E18" i="13" a="1"/>
  <c r="E18" i="13" s="1"/>
  <c r="E19" i="13" a="1"/>
  <c r="E19" i="13" s="1"/>
  <c r="E20" i="13" a="1"/>
  <c r="E20" i="13" s="1"/>
  <c r="E21" i="13" a="1"/>
  <c r="E21" i="13" s="1"/>
  <c r="E22" i="13" a="1"/>
  <c r="E22" i="13" s="1"/>
  <c r="E23" i="13" a="1"/>
  <c r="E23" i="13" s="1"/>
  <c r="E24" i="13" a="1"/>
  <c r="E24" i="13" s="1"/>
  <c r="A3" i="13" a="1"/>
  <c r="A3" i="13" s="1"/>
  <c r="A4" i="13" a="1"/>
  <c r="A4" i="13" s="1"/>
  <c r="A5" i="13" a="1"/>
  <c r="A5" i="13" s="1"/>
  <c r="A6" i="13" a="1"/>
  <c r="A6" i="13" s="1"/>
  <c r="A7" i="13" a="1"/>
  <c r="A7" i="13" s="1"/>
  <c r="A8" i="13" a="1"/>
  <c r="A8" i="13" s="1"/>
  <c r="A9" i="13" a="1"/>
  <c r="A9" i="13" s="1"/>
  <c r="A10" i="13" a="1"/>
  <c r="A10" i="13" s="1"/>
  <c r="A11" i="13" a="1"/>
  <c r="A11" i="13" s="1"/>
  <c r="A12" i="13" a="1"/>
  <c r="A12" i="13" s="1"/>
  <c r="A13" i="13" a="1"/>
  <c r="A13" i="13" s="1"/>
  <c r="A14" i="13" a="1"/>
  <c r="A14" i="13" s="1"/>
  <c r="A15" i="13" a="1"/>
  <c r="A15" i="13" s="1"/>
  <c r="A16" i="13" a="1"/>
  <c r="A16" i="13" s="1"/>
  <c r="A17" i="13" a="1"/>
  <c r="A17" i="13" s="1"/>
  <c r="A18" i="13" a="1"/>
  <c r="A18" i="13" s="1"/>
  <c r="A19" i="13" a="1"/>
  <c r="A19" i="13" s="1"/>
  <c r="A20" i="13" a="1"/>
  <c r="A20" i="13" s="1"/>
  <c r="A21" i="13" a="1"/>
  <c r="A21" i="13" s="1"/>
  <c r="A22" i="13" a="1"/>
  <c r="A22" i="13" s="1"/>
  <c r="A23" i="13" a="1"/>
  <c r="A23" i="13" s="1"/>
  <c r="A24" i="13" a="1"/>
  <c r="A24" i="13" s="1"/>
  <c r="A25" i="13" a="1"/>
  <c r="A25" i="13" s="1"/>
  <c r="A2" i="13" a="1"/>
  <c r="A2" i="13" s="1"/>
  <c r="D3" i="13" a="1"/>
  <c r="D3" i="13" s="1"/>
  <c r="D4" i="13" a="1"/>
  <c r="D4" i="13" s="1"/>
  <c r="D5" i="13" a="1"/>
  <c r="D5" i="13" s="1"/>
  <c r="D6" i="13" a="1"/>
  <c r="D6" i="13" s="1"/>
  <c r="D7" i="13" a="1"/>
  <c r="D7" i="13" s="1"/>
  <c r="D8" i="13" a="1"/>
  <c r="D8" i="13" s="1"/>
  <c r="D9" i="13" a="1"/>
  <c r="D9" i="13" s="1"/>
  <c r="D10" i="13" a="1"/>
  <c r="D10" i="13" s="1"/>
  <c r="D11" i="13" a="1"/>
  <c r="D11" i="13" s="1"/>
  <c r="D12" i="13" a="1"/>
  <c r="D12" i="13" s="1"/>
  <c r="D13" i="13" a="1"/>
  <c r="D13" i="13" s="1"/>
  <c r="D14" i="13" a="1"/>
  <c r="D14" i="13" s="1"/>
  <c r="D15" i="13" a="1"/>
  <c r="D15" i="13" s="1"/>
  <c r="D16" i="13" a="1"/>
  <c r="D16" i="13" s="1"/>
  <c r="D17" i="13" a="1"/>
  <c r="D17" i="13" s="1"/>
  <c r="D18" i="13" a="1"/>
  <c r="D18" i="13" s="1"/>
  <c r="D19" i="13" a="1"/>
  <c r="D19" i="13" s="1"/>
  <c r="D20" i="13" a="1"/>
  <c r="D20" i="13" s="1"/>
  <c r="D21" i="13" a="1"/>
  <c r="D21" i="13" s="1"/>
  <c r="D22" i="13" a="1"/>
  <c r="D22" i="13" s="1"/>
  <c r="D23" i="13" a="1"/>
  <c r="D23" i="13" s="1"/>
  <c r="D24" i="13" a="1"/>
  <c r="D24" i="13" s="1"/>
  <c r="D25" i="13" a="1"/>
  <c r="D25" i="13" s="1"/>
  <c r="C3" i="13" a="1"/>
  <c r="C3" i="13" s="1"/>
  <c r="C4" i="13" a="1"/>
  <c r="C4" i="13" s="1"/>
  <c r="C5" i="13" a="1"/>
  <c r="C5" i="13" s="1"/>
  <c r="C6" i="13" a="1"/>
  <c r="C6" i="13" s="1"/>
  <c r="C7" i="13" a="1"/>
  <c r="C7" i="13" s="1"/>
  <c r="C8" i="13" a="1"/>
  <c r="C8" i="13" s="1"/>
  <c r="C9" i="13" a="1"/>
  <c r="C9" i="13" s="1"/>
  <c r="C10" i="13" a="1"/>
  <c r="C10" i="13" s="1"/>
  <c r="C11" i="13" a="1"/>
  <c r="C11" i="13" s="1"/>
  <c r="C12" i="13" a="1"/>
  <c r="C12" i="13" s="1"/>
  <c r="C13" i="13" a="1"/>
  <c r="C13" i="13" s="1"/>
  <c r="C14" i="13" a="1"/>
  <c r="C14" i="13" s="1"/>
  <c r="C15" i="13" a="1"/>
  <c r="C15" i="13" s="1"/>
  <c r="C16" i="13" a="1"/>
  <c r="C16" i="13" s="1"/>
  <c r="C17" i="13" a="1"/>
  <c r="C17" i="13" s="1"/>
  <c r="C18" i="13" a="1"/>
  <c r="C18" i="13" s="1"/>
  <c r="C19" i="13" a="1"/>
  <c r="C19" i="13" s="1"/>
  <c r="C20" i="13" a="1"/>
  <c r="C20" i="13" s="1"/>
  <c r="C21" i="13" a="1"/>
  <c r="C21" i="13" s="1"/>
  <c r="C22" i="13" a="1"/>
  <c r="C22" i="13" s="1"/>
  <c r="C23" i="13" a="1"/>
  <c r="C23" i="13" s="1"/>
  <c r="C24" i="13" a="1"/>
  <c r="C24" i="13" s="1"/>
  <c r="C25" i="13" a="1"/>
  <c r="C25" i="13" s="1"/>
  <c r="D2" i="13" a="1"/>
  <c r="D2" i="13" s="1"/>
  <c r="C2" i="13" a="1"/>
  <c r="C2" i="13" s="1"/>
  <c r="F2" i="8" a="1"/>
  <c r="F2" i="8" s="1"/>
  <c r="G2" i="8" a="1"/>
  <c r="G2" i="8" s="1"/>
  <c r="F3" i="8" a="1"/>
  <c r="F3" i="8" s="1"/>
  <c r="G3" i="8" a="1"/>
  <c r="G3" i="8" s="1"/>
  <c r="F4" i="8" a="1"/>
  <c r="F4" i="8" s="1"/>
  <c r="G4" i="8" a="1"/>
  <c r="G4" i="8" s="1"/>
  <c r="F5" i="8" a="1"/>
  <c r="F5" i="8" s="1"/>
  <c r="G5" i="8" a="1"/>
  <c r="G5" i="8" s="1"/>
  <c r="F6" i="8" a="1"/>
  <c r="F6" i="8" s="1"/>
  <c r="G6" i="8" a="1"/>
  <c r="G6" i="8" s="1"/>
  <c r="F7" i="8" a="1"/>
  <c r="F7" i="8" s="1"/>
  <c r="G7" i="8" a="1"/>
  <c r="G7" i="8" s="1"/>
  <c r="F8" i="8" a="1"/>
  <c r="F8" i="8" s="1"/>
  <c r="G8" i="8" a="1"/>
  <c r="G8" i="8" s="1"/>
  <c r="F9" i="8" a="1"/>
  <c r="F9" i="8" s="1"/>
  <c r="G9" i="8" a="1"/>
  <c r="G9" i="8" s="1"/>
  <c r="F10" i="8" a="1"/>
  <c r="F10" i="8" s="1"/>
  <c r="G10" i="8" a="1"/>
  <c r="G10" i="8" s="1"/>
  <c r="F11" i="8" a="1"/>
  <c r="F11" i="8" s="1"/>
  <c r="G11" i="8" a="1"/>
  <c r="G11" i="8" s="1"/>
  <c r="F12" i="8" a="1"/>
  <c r="F12" i="8" s="1"/>
  <c r="G12" i="8" a="1"/>
  <c r="G12" i="8" s="1"/>
  <c r="F13" i="8" a="1"/>
  <c r="F13" i="8" s="1"/>
  <c r="G13" i="8" a="1"/>
  <c r="G13" i="8" s="1"/>
  <c r="F14" i="8" a="1"/>
  <c r="F14" i="8" s="1"/>
  <c r="G14" i="8" a="1"/>
  <c r="G14" i="8" s="1"/>
  <c r="F15" i="8" a="1"/>
  <c r="F15" i="8" s="1"/>
  <c r="G15" i="8" a="1"/>
  <c r="G15" i="8" s="1"/>
  <c r="F16" i="8" a="1"/>
  <c r="F16" i="8" s="1"/>
  <c r="G16" i="8" a="1"/>
  <c r="G16" i="8" s="1"/>
  <c r="F17" i="8" a="1"/>
  <c r="F17" i="8" s="1"/>
  <c r="G17" i="8" a="1"/>
  <c r="G17" i="8" s="1"/>
  <c r="F18" i="8" a="1"/>
  <c r="F18" i="8" s="1"/>
  <c r="G18" i="8" a="1"/>
  <c r="G18" i="8" s="1"/>
  <c r="F19" i="8" a="1"/>
  <c r="F19" i="8" s="1"/>
  <c r="G19" i="8" a="1"/>
  <c r="G19" i="8" s="1"/>
  <c r="F20" i="8" a="1"/>
  <c r="F20" i="8" s="1"/>
  <c r="G20" i="8" a="1"/>
  <c r="G20" i="8" s="1"/>
  <c r="F21" i="8" a="1"/>
  <c r="F21" i="8" s="1"/>
  <c r="G21" i="8" a="1"/>
  <c r="G21" i="8" s="1"/>
  <c r="F22" i="8" a="1"/>
  <c r="F22" i="8" s="1"/>
  <c r="G22" i="8" a="1"/>
  <c r="G22" i="8" s="1"/>
  <c r="F23" i="8" a="1"/>
  <c r="F23" i="8" s="1"/>
  <c r="G23" i="8" a="1"/>
  <c r="G23" i="8" s="1"/>
  <c r="F24" i="8" a="1"/>
  <c r="F24" i="8" s="1"/>
  <c r="G24" i="8" a="1"/>
  <c r="G24" i="8" s="1"/>
  <c r="F25" i="8" a="1"/>
  <c r="F25" i="8" s="1"/>
  <c r="G25" i="8" a="1"/>
  <c r="G25" i="8" s="1"/>
  <c r="F26" i="8" a="1"/>
  <c r="F26" i="8" s="1"/>
  <c r="G26" i="8" a="1"/>
  <c r="G26" i="8" s="1"/>
  <c r="F27" i="8" a="1"/>
  <c r="F27" i="8" s="1"/>
  <c r="G27" i="8" a="1"/>
  <c r="G27" i="8" s="1"/>
  <c r="F28" i="8" a="1"/>
  <c r="F28" i="8" s="1"/>
  <c r="G28" i="8" a="1"/>
  <c r="G28" i="8" s="1"/>
  <c r="F29" i="8" a="1"/>
  <c r="F29" i="8" s="1"/>
  <c r="G29" i="8" a="1"/>
  <c r="G29" i="8" s="1"/>
  <c r="F30" i="8" a="1"/>
  <c r="F30" i="8" s="1"/>
  <c r="G30" i="8" a="1"/>
  <c r="G30" i="8" s="1"/>
  <c r="F31" i="8" a="1"/>
  <c r="F31" i="8" s="1"/>
  <c r="G31" i="8" a="1"/>
  <c r="G31" i="8" s="1"/>
  <c r="F32" i="8" a="1"/>
  <c r="F32" i="8" s="1"/>
  <c r="G32" i="8" a="1"/>
  <c r="G32" i="8" s="1"/>
  <c r="F33" i="8" a="1"/>
  <c r="F33" i="8" s="1"/>
  <c r="G33" i="8" a="1"/>
  <c r="G33" i="8" s="1"/>
  <c r="F34" i="8" a="1"/>
  <c r="F34" i="8" s="1"/>
  <c r="G34" i="8" a="1"/>
  <c r="G34" i="8" s="1"/>
  <c r="F35" i="8" a="1"/>
  <c r="F35" i="8" s="1"/>
  <c r="G35" i="8" a="1"/>
  <c r="G35" i="8" s="1"/>
  <c r="F36" i="8" a="1"/>
  <c r="F36" i="8" s="1"/>
  <c r="G36" i="8" a="1"/>
  <c r="G36" i="8" s="1"/>
  <c r="F37" i="8" a="1"/>
  <c r="F37" i="8" s="1"/>
  <c r="G37" i="8" a="1"/>
  <c r="G37" i="8" s="1"/>
  <c r="F38" i="8" a="1"/>
  <c r="F38" i="8" s="1"/>
  <c r="G38" i="8" a="1"/>
  <c r="G38" i="8" s="1"/>
  <c r="F39" i="8" a="1"/>
  <c r="F39" i="8" s="1"/>
  <c r="G39" i="8" a="1"/>
  <c r="G39" i="8" s="1"/>
  <c r="F40" i="8" a="1"/>
  <c r="F40" i="8" s="1"/>
  <c r="G40" i="8" a="1"/>
  <c r="G40" i="8" s="1"/>
  <c r="F41" i="8" a="1"/>
  <c r="F41" i="8" s="1"/>
  <c r="G41" i="8" a="1"/>
  <c r="G41" i="8" s="1"/>
  <c r="F42" i="8" a="1"/>
  <c r="F42" i="8" s="1"/>
  <c r="G42" i="8" a="1"/>
  <c r="G42" i="8" s="1"/>
  <c r="F43" i="8" a="1"/>
  <c r="F43" i="8" s="1"/>
  <c r="G43" i="8" a="1"/>
  <c r="G43" i="8" s="1"/>
  <c r="F44" i="8" a="1"/>
  <c r="F44" i="8" s="1"/>
  <c r="G44" i="8" a="1"/>
  <c r="G44" i="8" s="1"/>
  <c r="F45" i="8" a="1"/>
  <c r="F45" i="8" s="1"/>
  <c r="G45" i="8" a="1"/>
  <c r="G45" i="8" s="1"/>
  <c r="F46" i="8" a="1"/>
  <c r="F46" i="8" s="1"/>
  <c r="G46" i="8" a="1"/>
  <c r="G46" i="8" s="1"/>
  <c r="F47" i="8" a="1"/>
  <c r="F47" i="8" s="1"/>
  <c r="G47" i="8" a="1"/>
  <c r="G47" i="8" s="1"/>
  <c r="F48" i="8" a="1"/>
  <c r="F48" i="8" s="1"/>
  <c r="G48" i="8" a="1"/>
  <c r="G48" i="8" s="1"/>
  <c r="F49" i="8" a="1"/>
  <c r="F49" i="8" s="1"/>
  <c r="G49" i="8" a="1"/>
  <c r="G49" i="8" s="1"/>
  <c r="F50" i="8" a="1"/>
  <c r="F50" i="8" s="1"/>
  <c r="G50" i="8" a="1"/>
  <c r="G50" i="8" s="1"/>
  <c r="F51" i="8" a="1"/>
  <c r="F51" i="8" s="1"/>
  <c r="G51" i="8" a="1"/>
  <c r="G51" i="8" s="1"/>
  <c r="F52" i="8" a="1"/>
  <c r="F52" i="8" s="1"/>
  <c r="G52" i="8" a="1"/>
  <c r="G52" i="8" s="1"/>
  <c r="F53" i="8" a="1"/>
  <c r="F53" i="8" s="1"/>
  <c r="G53" i="8" a="1"/>
  <c r="G53" i="8" s="1"/>
  <c r="F54" i="8" a="1"/>
  <c r="F54" i="8" s="1"/>
  <c r="G54" i="8" a="1"/>
  <c r="G54" i="8" s="1"/>
  <c r="F55" i="8" a="1"/>
  <c r="F55" i="8" s="1"/>
  <c r="G55" i="8" a="1"/>
  <c r="G55" i="8" s="1"/>
  <c r="F56" i="8" a="1"/>
  <c r="F56" i="8" s="1"/>
  <c r="G56" i="8" a="1"/>
  <c r="G56" i="8" s="1"/>
  <c r="F57" i="8" a="1"/>
  <c r="F57" i="8" s="1"/>
  <c r="G57" i="8" a="1"/>
  <c r="G57" i="8" s="1"/>
  <c r="F58" i="8" a="1"/>
  <c r="F58" i="8" s="1"/>
  <c r="G58" i="8" a="1"/>
  <c r="G58" i="8" s="1"/>
  <c r="F59" i="8" a="1"/>
  <c r="F59" i="8" s="1"/>
  <c r="G59" i="8" a="1"/>
  <c r="G59" i="8" s="1"/>
  <c r="F60" i="8" a="1"/>
  <c r="F60" i="8" s="1"/>
  <c r="G60" i="8" a="1"/>
  <c r="G60" i="8" s="1"/>
  <c r="F61" i="8" a="1"/>
  <c r="F61" i="8" s="1"/>
  <c r="G61" i="8" a="1"/>
  <c r="G61" i="8" s="1"/>
  <c r="F62" i="8" a="1"/>
  <c r="F62" i="8" s="1"/>
  <c r="G62" i="8" a="1"/>
  <c r="G62" i="8" s="1"/>
  <c r="F63" i="8" a="1"/>
  <c r="F63" i="8" s="1"/>
  <c r="G63" i="8" a="1"/>
  <c r="G63" i="8" s="1"/>
  <c r="F64" i="8" a="1"/>
  <c r="F64" i="8" s="1"/>
  <c r="G64" i="8" a="1"/>
  <c r="G64" i="8" s="1"/>
  <c r="F65" i="8" a="1"/>
  <c r="F65" i="8" s="1"/>
  <c r="G65" i="8" a="1"/>
  <c r="G65" i="8" s="1"/>
  <c r="F66" i="8" a="1"/>
  <c r="F66" i="8" s="1"/>
  <c r="G66" i="8" a="1"/>
  <c r="G66" i="8" s="1"/>
  <c r="F67" i="8" a="1"/>
  <c r="F67" i="8" s="1"/>
  <c r="G67" i="8" a="1"/>
  <c r="G67" i="8" s="1"/>
  <c r="F68" i="8" a="1"/>
  <c r="F68" i="8" s="1"/>
  <c r="G68" i="8" a="1"/>
  <c r="G68" i="8" s="1"/>
  <c r="F69" i="8" a="1"/>
  <c r="F69" i="8" s="1"/>
  <c r="G69" i="8" a="1"/>
  <c r="G69" i="8" s="1"/>
  <c r="F70" i="8" a="1"/>
  <c r="F70" i="8" s="1"/>
  <c r="G70" i="8" a="1"/>
  <c r="G70" i="8" s="1"/>
  <c r="F71" i="8" a="1"/>
  <c r="F71" i="8" s="1"/>
  <c r="G71" i="8" a="1"/>
  <c r="G71" i="8" s="1"/>
  <c r="F72" i="8" a="1"/>
  <c r="F72" i="8" s="1"/>
  <c r="G72" i="8" a="1"/>
  <c r="G72" i="8" s="1"/>
  <c r="F73" i="8" a="1"/>
  <c r="F73" i="8" s="1"/>
  <c r="G73" i="8" a="1"/>
  <c r="G73" i="8" s="1"/>
  <c r="F74" i="8" a="1"/>
  <c r="F74" i="8" s="1"/>
  <c r="G74" i="8" a="1"/>
  <c r="G74" i="8" s="1"/>
  <c r="F75" i="8" a="1"/>
  <c r="F75" i="8" s="1"/>
  <c r="G75" i="8" a="1"/>
  <c r="G75" i="8" s="1"/>
  <c r="F76" i="8" a="1"/>
  <c r="F76" i="8" s="1"/>
  <c r="G76" i="8" a="1"/>
  <c r="G76" i="8" s="1"/>
  <c r="F77" i="8" a="1"/>
  <c r="F77" i="8" s="1"/>
  <c r="G77" i="8" a="1"/>
  <c r="G77" i="8" s="1"/>
  <c r="F78" i="8" a="1"/>
  <c r="F78" i="8" s="1"/>
  <c r="G78" i="8" a="1"/>
  <c r="G78" i="8" s="1"/>
  <c r="F79" i="8" a="1"/>
  <c r="F79" i="8" s="1"/>
  <c r="G79" i="8" a="1"/>
  <c r="G79" i="8" s="1"/>
  <c r="F80" i="8" a="1"/>
  <c r="F80" i="8" s="1"/>
  <c r="G80" i="8" a="1"/>
  <c r="G80" i="8" s="1"/>
  <c r="F81" i="8" a="1"/>
  <c r="F81" i="8" s="1"/>
  <c r="G81" i="8" a="1"/>
  <c r="G81" i="8" s="1"/>
  <c r="D82" i="8" a="1"/>
  <c r="D82" i="8" s="1"/>
  <c r="F82" i="8" a="1"/>
  <c r="F82" i="8" s="1"/>
  <c r="G82" i="8" a="1"/>
  <c r="G82" i="8" s="1"/>
  <c r="F83" i="8" a="1"/>
  <c r="F83" i="8" s="1"/>
  <c r="G83" i="8" a="1"/>
  <c r="G83" i="8" s="1"/>
  <c r="F84" i="8" a="1"/>
  <c r="F84" i="8" s="1"/>
  <c r="G84" i="8" a="1"/>
  <c r="G84" i="8" s="1"/>
  <c r="F85" i="8" a="1"/>
  <c r="F85" i="8" s="1"/>
  <c r="G85" i="8" a="1"/>
  <c r="G85" i="8" s="1"/>
  <c r="F86" i="8" a="1"/>
  <c r="F86" i="8" s="1"/>
  <c r="G86" i="8" a="1"/>
  <c r="G86" i="8" s="1"/>
  <c r="F87" i="8" a="1"/>
  <c r="F87" i="8" s="1"/>
  <c r="G87" i="8" a="1"/>
  <c r="G87" i="8" s="1"/>
  <c r="F88" i="8" a="1"/>
  <c r="F88" i="8" s="1"/>
  <c r="G88" i="8" a="1"/>
  <c r="G88" i="8" s="1"/>
  <c r="F89" i="8" a="1"/>
  <c r="F89" i="8" s="1"/>
  <c r="G89" i="8" a="1"/>
  <c r="G89" i="8" s="1"/>
  <c r="F90" i="8" a="1"/>
  <c r="F90" i="8" s="1"/>
  <c r="G90" i="8" a="1"/>
  <c r="G90" i="8" s="1"/>
  <c r="F91" i="8" a="1"/>
  <c r="F91" i="8" s="1"/>
  <c r="G91" i="8" a="1"/>
  <c r="G91" i="8" s="1"/>
  <c r="F92" i="8" a="1"/>
  <c r="F92" i="8" s="1"/>
  <c r="G92" i="8" a="1"/>
  <c r="G92" i="8" s="1"/>
  <c r="F93" i="8" a="1"/>
  <c r="F93" i="8" s="1"/>
  <c r="G93" i="8" a="1"/>
  <c r="G93" i="8" s="1"/>
  <c r="F94" i="8" a="1"/>
  <c r="F94" i="8" s="1"/>
  <c r="G94" i="8" a="1"/>
  <c r="G94" i="8" s="1"/>
  <c r="F95" i="8" a="1"/>
  <c r="F95" i="8" s="1"/>
  <c r="G95" i="8" a="1"/>
  <c r="G95" i="8" s="1"/>
  <c r="F96" i="8" a="1"/>
  <c r="F96" i="8" s="1"/>
  <c r="G96" i="8" a="1"/>
  <c r="G96" i="8" s="1"/>
  <c r="F97" i="8" a="1"/>
  <c r="F97" i="8" s="1"/>
  <c r="G97" i="8" a="1"/>
  <c r="G97" i="8" s="1"/>
  <c r="F98" i="8" a="1"/>
  <c r="F98" i="8" s="1"/>
  <c r="G98" i="8" a="1"/>
  <c r="G98" i="8" s="1"/>
  <c r="F99" i="8" a="1"/>
  <c r="F99" i="8" s="1"/>
  <c r="G99" i="8" a="1"/>
  <c r="G99" i="8" s="1"/>
  <c r="F100" i="8" a="1"/>
  <c r="F100" i="8" s="1"/>
  <c r="G100" i="8" a="1"/>
  <c r="G100" i="8" s="1"/>
  <c r="F101" i="8" a="1"/>
  <c r="F101" i="8" s="1"/>
  <c r="G101" i="8" a="1"/>
  <c r="G101" i="8" s="1"/>
  <c r="F102" i="8" a="1"/>
  <c r="F102" i="8" s="1"/>
  <c r="G102" i="8" a="1"/>
  <c r="G102" i="8" s="1"/>
  <c r="F103" i="8" a="1"/>
  <c r="F103" i="8" s="1"/>
  <c r="G103" i="8" a="1"/>
  <c r="G103" i="8" s="1"/>
  <c r="F104" i="8" a="1"/>
  <c r="F104" i="8" s="1"/>
  <c r="G104" i="8" a="1"/>
  <c r="G104" i="8" s="1"/>
  <c r="F105" i="8" a="1"/>
  <c r="F105" i="8" s="1"/>
  <c r="G105" i="8" a="1"/>
  <c r="G105" i="8" s="1"/>
  <c r="F106" i="8" a="1"/>
  <c r="F106" i="8" s="1"/>
  <c r="G106" i="8" a="1"/>
  <c r="G106" i="8" s="1"/>
  <c r="F107" i="8" a="1"/>
  <c r="F107" i="8" s="1"/>
  <c r="G107" i="8" a="1"/>
  <c r="G107" i="8" s="1"/>
  <c r="F108" i="8" a="1"/>
  <c r="F108" i="8" s="1"/>
  <c r="G108" i="8" a="1"/>
  <c r="G108" i="8" s="1"/>
  <c r="F109" i="8" a="1"/>
  <c r="F109" i="8" s="1"/>
  <c r="G109" i="8" a="1"/>
  <c r="G109" i="8" s="1"/>
  <c r="F110" i="8" a="1"/>
  <c r="F110" i="8" s="1"/>
  <c r="G110" i="8" a="1"/>
  <c r="G110" i="8" s="1"/>
  <c r="F111" i="8" a="1"/>
  <c r="F111" i="8" s="1"/>
  <c r="G111" i="8" a="1"/>
  <c r="G111" i="8" s="1"/>
  <c r="F112" i="8" a="1"/>
  <c r="F112" i="8" s="1"/>
  <c r="G112" i="8" a="1"/>
  <c r="G112" i="8" s="1"/>
  <c r="F113" i="8" a="1"/>
  <c r="F113" i="8" s="1"/>
  <c r="G113" i="8" a="1"/>
  <c r="G113" i="8" s="1"/>
  <c r="F114" i="8" a="1"/>
  <c r="F114" i="8" s="1"/>
  <c r="G114" i="8" a="1"/>
  <c r="G114" i="8" s="1"/>
  <c r="F115" i="8" a="1"/>
  <c r="F115" i="8" s="1"/>
  <c r="G115" i="8" a="1"/>
  <c r="G115" i="8" s="1"/>
  <c r="F116" i="8" a="1"/>
  <c r="F116" i="8" s="1"/>
  <c r="G116" i="8" a="1"/>
  <c r="G116" i="8" s="1"/>
  <c r="F117" i="8" a="1"/>
  <c r="F117" i="8" s="1"/>
  <c r="G117" i="8" a="1"/>
  <c r="G117" i="8" s="1"/>
  <c r="F118" i="8" a="1"/>
  <c r="F118" i="8" s="1"/>
  <c r="G118" i="8" a="1"/>
  <c r="G118" i="8" s="1"/>
  <c r="F119" i="8" a="1"/>
  <c r="F119" i="8" s="1"/>
  <c r="G119" i="8" a="1"/>
  <c r="G119" i="8" s="1"/>
  <c r="F120" i="8" a="1"/>
  <c r="F120" i="8" s="1"/>
  <c r="G120" i="8" a="1"/>
  <c r="G120" i="8" s="1"/>
  <c r="F121" i="8" a="1"/>
  <c r="F121" i="8" s="1"/>
  <c r="G121" i="8" a="1"/>
  <c r="G121" i="8" s="1"/>
  <c r="F122" i="8" a="1"/>
  <c r="F122" i="8" s="1"/>
  <c r="G122" i="8" a="1"/>
  <c r="G122" i="8" s="1"/>
  <c r="F123" i="8" a="1"/>
  <c r="F123" i="8" s="1"/>
  <c r="G123" i="8" a="1"/>
  <c r="G123" i="8" s="1"/>
  <c r="F124" i="8" a="1"/>
  <c r="F124" i="8" s="1"/>
  <c r="G124" i="8" a="1"/>
  <c r="G124" i="8" s="1"/>
  <c r="F125" i="8" a="1"/>
  <c r="F125" i="8" s="1"/>
  <c r="G125" i="8" a="1"/>
  <c r="G125" i="8" s="1"/>
  <c r="F126" i="8" a="1"/>
  <c r="F126" i="8" s="1"/>
  <c r="G126" i="8" a="1"/>
  <c r="G126" i="8" s="1"/>
  <c r="F127" i="8" a="1"/>
  <c r="F127" i="8" s="1"/>
  <c r="G127" i="8" a="1"/>
  <c r="G127" i="8" s="1"/>
  <c r="F128" i="8" a="1"/>
  <c r="F128" i="8" s="1"/>
  <c r="G128" i="8" a="1"/>
  <c r="G128" i="8" s="1"/>
  <c r="F129" i="8" a="1"/>
  <c r="F129" i="8" s="1"/>
  <c r="G129" i="8" a="1"/>
  <c r="G129" i="8" s="1"/>
  <c r="F130" i="8" a="1"/>
  <c r="F130" i="8" s="1"/>
  <c r="G130" i="8" a="1"/>
  <c r="G130" i="8" s="1"/>
  <c r="F131" i="8" a="1"/>
  <c r="F131" i="8" s="1"/>
  <c r="G131" i="8" a="1"/>
  <c r="G131" i="8" s="1"/>
  <c r="F132" i="8" a="1"/>
  <c r="F132" i="8" s="1"/>
  <c r="G132" i="8" a="1"/>
  <c r="G132" i="8" s="1"/>
  <c r="F133" i="8" a="1"/>
  <c r="F133" i="8" s="1"/>
  <c r="G133" i="8" a="1"/>
  <c r="G133" i="8" s="1"/>
  <c r="F134" i="8" a="1"/>
  <c r="F134" i="8" s="1"/>
  <c r="G134" i="8" a="1"/>
  <c r="G134" i="8" s="1"/>
  <c r="F135" i="8" a="1"/>
  <c r="F135" i="8" s="1"/>
  <c r="G135" i="8" a="1"/>
  <c r="G135" i="8" s="1"/>
  <c r="F136" i="8" a="1"/>
  <c r="F136" i="8" s="1"/>
  <c r="G136" i="8" a="1"/>
  <c r="G136" i="8" s="1"/>
  <c r="F137" i="8" a="1"/>
  <c r="F137" i="8" s="1"/>
  <c r="G137" i="8" a="1"/>
  <c r="G137" i="8" s="1"/>
  <c r="F138" i="8" a="1"/>
  <c r="F138" i="8" s="1"/>
  <c r="G138" i="8" a="1"/>
  <c r="G138" i="8" s="1"/>
  <c r="F139" i="8" a="1"/>
  <c r="F139" i="8" s="1"/>
  <c r="G139" i="8" a="1"/>
  <c r="G139" i="8" s="1"/>
  <c r="F140" i="8" a="1"/>
  <c r="F140" i="8" s="1"/>
  <c r="G140" i="8" a="1"/>
  <c r="G140" i="8" s="1"/>
  <c r="F141" i="8" a="1"/>
  <c r="F141" i="8" s="1"/>
  <c r="G141" i="8" a="1"/>
  <c r="G141" i="8" s="1"/>
  <c r="F142" i="8" a="1"/>
  <c r="F142" i="8" s="1"/>
  <c r="G142" i="8" a="1"/>
  <c r="G142" i="8" s="1"/>
  <c r="F143" i="8" a="1"/>
  <c r="F143" i="8" s="1"/>
  <c r="G143" i="8" a="1"/>
  <c r="G143" i="8" s="1"/>
  <c r="F144" i="8" a="1"/>
  <c r="F144" i="8" s="1"/>
  <c r="G144" i="8" a="1"/>
  <c r="G144" i="8" s="1"/>
  <c r="F145" i="8" a="1"/>
  <c r="F145" i="8" s="1"/>
  <c r="G145" i="8" a="1"/>
  <c r="G145" i="8" s="1"/>
  <c r="F146" i="8" a="1"/>
  <c r="F146" i="8" s="1"/>
  <c r="G146" i="8" a="1"/>
  <c r="G146" i="8" s="1"/>
  <c r="F147" i="8" a="1"/>
  <c r="F147" i="8" s="1"/>
  <c r="G147" i="8" a="1"/>
  <c r="G147" i="8" s="1"/>
  <c r="F148" i="8" a="1"/>
  <c r="F148" i="8" s="1"/>
  <c r="G148" i="8" a="1"/>
  <c r="G148" i="8" s="1"/>
  <c r="F149" i="8" a="1"/>
  <c r="F149" i="8" s="1"/>
  <c r="G149" i="8" a="1"/>
  <c r="G149" i="8" s="1"/>
  <c r="F150" i="8" a="1"/>
  <c r="F150" i="8" s="1"/>
  <c r="G150" i="8" a="1"/>
  <c r="G150" i="8" s="1"/>
  <c r="F151" i="8" a="1"/>
  <c r="F151" i="8" s="1"/>
  <c r="G151" i="8" a="1"/>
  <c r="G151" i="8" s="1"/>
  <c r="F152" i="8" a="1"/>
  <c r="F152" i="8" s="1"/>
  <c r="G152" i="8" a="1"/>
  <c r="G152" i="8" s="1"/>
  <c r="F153" i="8" a="1"/>
  <c r="F153" i="8" s="1"/>
  <c r="G153" i="8" a="1"/>
  <c r="G153" i="8" s="1"/>
  <c r="F154" i="8" a="1"/>
  <c r="F154" i="8" s="1"/>
  <c r="G154" i="8" a="1"/>
  <c r="G154" i="8" s="1"/>
  <c r="F155" i="8" a="1"/>
  <c r="F155" i="8" s="1"/>
  <c r="G155" i="8" a="1"/>
  <c r="G155" i="8" s="1"/>
  <c r="F156" i="8" a="1"/>
  <c r="F156" i="8" s="1"/>
  <c r="G156" i="8" a="1"/>
  <c r="G156" i="8" s="1"/>
  <c r="F157" i="8" a="1"/>
  <c r="F157" i="8" s="1"/>
  <c r="G157" i="8" a="1"/>
  <c r="G157" i="8" s="1"/>
  <c r="F158" i="8" a="1"/>
  <c r="F158" i="8" s="1"/>
  <c r="G158" i="8" a="1"/>
  <c r="G158" i="8" s="1"/>
  <c r="F159" i="8" a="1"/>
  <c r="F159" i="8" s="1"/>
  <c r="G159" i="8" a="1"/>
  <c r="G159" i="8" s="1"/>
  <c r="F160" i="8" a="1"/>
  <c r="F160" i="8" s="1"/>
  <c r="G160" i="8" a="1"/>
  <c r="G160" i="8" s="1"/>
  <c r="F161" i="8" a="1"/>
  <c r="F161" i="8" s="1"/>
  <c r="G161" i="8" a="1"/>
  <c r="G161" i="8" s="1"/>
  <c r="F162" i="8" a="1"/>
  <c r="F162" i="8" s="1"/>
  <c r="G162" i="8" a="1"/>
  <c r="G162" i="8" s="1"/>
  <c r="F163" i="8" a="1"/>
  <c r="F163" i="8" s="1"/>
  <c r="G163" i="8" a="1"/>
  <c r="G163" i="8" s="1"/>
  <c r="F164" i="8" a="1"/>
  <c r="F164" i="8" s="1"/>
  <c r="G164" i="8" a="1"/>
  <c r="G164" i="8" s="1"/>
  <c r="F165" i="8" a="1"/>
  <c r="F165" i="8" s="1"/>
  <c r="G165" i="8" a="1"/>
  <c r="G165" i="8" s="1"/>
  <c r="F166" i="8" a="1"/>
  <c r="F166" i="8" s="1"/>
  <c r="G166" i="8" a="1"/>
  <c r="G166" i="8" s="1"/>
  <c r="F167" i="8" a="1"/>
  <c r="F167" i="8" s="1"/>
  <c r="G167" i="8" a="1"/>
  <c r="G167" i="8" s="1"/>
  <c r="F168" i="8" a="1"/>
  <c r="F168" i="8" s="1"/>
  <c r="G168" i="8" a="1"/>
  <c r="G168" i="8" s="1"/>
  <c r="F169" i="8" a="1"/>
  <c r="F169" i="8" s="1"/>
  <c r="G169" i="8" a="1"/>
  <c r="G169" i="8" s="1"/>
  <c r="F170" i="8" a="1"/>
  <c r="F170" i="8" s="1"/>
  <c r="G170" i="8" a="1"/>
  <c r="G170" i="8" s="1"/>
  <c r="F171" i="8" a="1"/>
  <c r="F171" i="8" s="1"/>
  <c r="G171" i="8" a="1"/>
  <c r="G171" i="8" s="1"/>
  <c r="F172" i="8" a="1"/>
  <c r="F172" i="8" s="1"/>
  <c r="G172" i="8" a="1"/>
  <c r="G172" i="8" s="1"/>
  <c r="F173" i="8" a="1"/>
  <c r="F173" i="8" s="1"/>
  <c r="G173" i="8" a="1"/>
  <c r="G173" i="8" s="1"/>
  <c r="F174" i="8" a="1"/>
  <c r="F174" i="8" s="1"/>
  <c r="G174" i="8" a="1"/>
  <c r="G174" i="8" s="1"/>
  <c r="F175" i="8" a="1"/>
  <c r="F175" i="8" s="1"/>
  <c r="G175" i="8" a="1"/>
  <c r="G175" i="8" s="1"/>
  <c r="F176" i="8" a="1"/>
  <c r="F176" i="8" s="1"/>
  <c r="G176" i="8" a="1"/>
  <c r="G176" i="8" s="1"/>
  <c r="F177" i="8" a="1"/>
  <c r="F177" i="8" s="1"/>
  <c r="G177" i="8" a="1"/>
  <c r="G177" i="8" s="1"/>
  <c r="F178" i="8" a="1"/>
  <c r="F178" i="8" s="1"/>
  <c r="G178" i="8" a="1"/>
  <c r="G178" i="8" s="1"/>
  <c r="F179" i="8" a="1"/>
  <c r="F179" i="8" s="1"/>
  <c r="G179" i="8" a="1"/>
  <c r="G179" i="8" s="1"/>
  <c r="F180" i="8" a="1"/>
  <c r="F180" i="8" s="1"/>
  <c r="G180" i="8" a="1"/>
  <c r="G180" i="8" s="1"/>
  <c r="F181" i="8" a="1"/>
  <c r="F181" i="8" s="1"/>
  <c r="G181" i="8" a="1"/>
  <c r="G181" i="8" s="1"/>
  <c r="F182" i="8" a="1"/>
  <c r="F182" i="8" s="1"/>
  <c r="G182" i="8" a="1"/>
  <c r="G182" i="8" s="1"/>
  <c r="F183" i="8" a="1"/>
  <c r="F183" i="8" s="1"/>
  <c r="G183" i="8" a="1"/>
  <c r="G183" i="8" s="1"/>
  <c r="F184" i="8" a="1"/>
  <c r="F184" i="8" s="1"/>
  <c r="G184" i="8" a="1"/>
  <c r="G184" i="8" s="1"/>
  <c r="F185" i="8" a="1"/>
  <c r="F185" i="8" s="1"/>
  <c r="G185" i="8" a="1"/>
  <c r="G185" i="8" s="1"/>
  <c r="F186" i="8" a="1"/>
  <c r="F186" i="8" s="1"/>
  <c r="G186" i="8" a="1"/>
  <c r="G186" i="8" s="1"/>
  <c r="F187" i="8" a="1"/>
  <c r="F187" i="8" s="1"/>
  <c r="G187" i="8" a="1"/>
  <c r="G187" i="8" s="1"/>
  <c r="F188" i="8" a="1"/>
  <c r="F188" i="8" s="1"/>
  <c r="G188" i="8" a="1"/>
  <c r="G188" i="8" s="1"/>
  <c r="F189" i="8" a="1"/>
  <c r="F189" i="8" s="1"/>
  <c r="G189" i="8" a="1"/>
  <c r="G189" i="8" s="1"/>
  <c r="F190" i="8" a="1"/>
  <c r="F190" i="8" s="1"/>
  <c r="G190" i="8" a="1"/>
  <c r="G190" i="8" s="1"/>
  <c r="F191" i="8" a="1"/>
  <c r="F191" i="8" s="1"/>
  <c r="G191" i="8" a="1"/>
  <c r="G191" i="8" s="1"/>
  <c r="F192" i="8" a="1"/>
  <c r="F192" i="8" s="1"/>
  <c r="G192" i="8" a="1"/>
  <c r="G192" i="8" s="1"/>
  <c r="F193" i="8" a="1"/>
  <c r="F193" i="8" s="1"/>
  <c r="G193" i="8" a="1"/>
  <c r="G193" i="8" s="1"/>
  <c r="F194" i="8" a="1"/>
  <c r="F194" i="8" s="1"/>
  <c r="G194" i="8" a="1"/>
  <c r="G194" i="8" s="1"/>
  <c r="F195" i="8" a="1"/>
  <c r="F195" i="8" s="1"/>
  <c r="G195" i="8" a="1"/>
  <c r="G195" i="8" s="1"/>
  <c r="F196" i="8" a="1"/>
  <c r="F196" i="8" s="1"/>
  <c r="G196" i="8" a="1"/>
  <c r="G196" i="8" s="1"/>
  <c r="F197" i="8" a="1"/>
  <c r="F197" i="8" s="1"/>
  <c r="G197" i="8" a="1"/>
  <c r="G197" i="8" s="1"/>
  <c r="F198" i="8" a="1"/>
  <c r="F198" i="8" s="1"/>
  <c r="G198" i="8" a="1"/>
  <c r="G198" i="8" s="1"/>
  <c r="F199" i="8" a="1"/>
  <c r="F199" i="8" s="1"/>
  <c r="G199" i="8" a="1"/>
  <c r="G199" i="8" s="1"/>
  <c r="F200" i="8" a="1"/>
  <c r="F200" i="8" s="1"/>
  <c r="G200" i="8" a="1"/>
  <c r="G200" i="8" s="1"/>
  <c r="F201" i="8" a="1"/>
  <c r="F201" i="8" s="1"/>
  <c r="G201" i="8" a="1"/>
  <c r="G201" i="8" s="1"/>
  <c r="F202" i="8" a="1"/>
  <c r="F202" i="8" s="1"/>
  <c r="G202" i="8" a="1"/>
  <c r="G202" i="8" s="1"/>
  <c r="F203" i="8" a="1"/>
  <c r="F203" i="8" s="1"/>
  <c r="G203" i="8" a="1"/>
  <c r="G203" i="8" s="1"/>
  <c r="F204" i="8" a="1"/>
  <c r="F204" i="8" s="1"/>
  <c r="G204" i="8" a="1"/>
  <c r="G204" i="8" s="1"/>
  <c r="F205" i="8" a="1"/>
  <c r="F205" i="8" s="1"/>
  <c r="G205" i="8" a="1"/>
  <c r="G205" i="8" s="1"/>
  <c r="F206" i="8" a="1"/>
  <c r="F206" i="8" s="1"/>
  <c r="G206" i="8" a="1"/>
  <c r="G206" i="8" s="1"/>
  <c r="F207" i="8" a="1"/>
  <c r="F207" i="8" s="1"/>
  <c r="G207" i="8" a="1"/>
  <c r="G207" i="8" s="1"/>
  <c r="F208" i="8" a="1"/>
  <c r="F208" i="8" s="1"/>
  <c r="G208" i="8" a="1"/>
  <c r="G208" i="8" s="1"/>
  <c r="F209" i="8" a="1"/>
  <c r="F209" i="8" s="1"/>
  <c r="G209" i="8" a="1"/>
  <c r="G209" i="8" s="1"/>
  <c r="F210" i="8" a="1"/>
  <c r="F210" i="8" s="1"/>
  <c r="G210" i="8" a="1"/>
  <c r="G210" i="8" s="1"/>
  <c r="F211" i="8" a="1"/>
  <c r="F211" i="8" s="1"/>
  <c r="G211" i="8" a="1"/>
  <c r="G211" i="8" s="1"/>
  <c r="F212" i="8" a="1"/>
  <c r="F212" i="8" s="1"/>
  <c r="G212" i="8" a="1"/>
  <c r="G212" i="8" s="1"/>
  <c r="F213" i="8" a="1"/>
  <c r="F213" i="8" s="1"/>
  <c r="G213" i="8" a="1"/>
  <c r="G213" i="8" s="1"/>
  <c r="F214" i="8" a="1"/>
  <c r="F214" i="8" s="1"/>
  <c r="G214" i="8" a="1"/>
  <c r="G214" i="8" s="1"/>
  <c r="F215" i="8" a="1"/>
  <c r="F215" i="8" s="1"/>
  <c r="G215" i="8" a="1"/>
  <c r="G215" i="8" s="1"/>
  <c r="F216" i="8" a="1"/>
  <c r="F216" i="8" s="1"/>
  <c r="G216" i="8" a="1"/>
  <c r="G216" i="8" s="1"/>
  <c r="F217" i="8" a="1"/>
  <c r="F217" i="8" s="1"/>
  <c r="G217" i="8" a="1"/>
  <c r="G217" i="8" s="1"/>
  <c r="F218" i="8" a="1"/>
  <c r="F218" i="8" s="1"/>
  <c r="G218" i="8" a="1"/>
  <c r="G218" i="8" s="1"/>
  <c r="F219" i="8" a="1"/>
  <c r="F219" i="8" s="1"/>
  <c r="G219" i="8" a="1"/>
  <c r="G219" i="8" s="1"/>
  <c r="F220" i="8" a="1"/>
  <c r="F220" i="8" s="1"/>
  <c r="G220" i="8" a="1"/>
  <c r="G220" i="8" s="1"/>
  <c r="F221" i="8" a="1"/>
  <c r="F221" i="8" s="1"/>
  <c r="G221" i="8" a="1"/>
  <c r="G221" i="8" s="1"/>
  <c r="F222" i="8" a="1"/>
  <c r="F222" i="8" s="1"/>
  <c r="G222" i="8" a="1"/>
  <c r="G222" i="8" s="1"/>
  <c r="F223" i="8" a="1"/>
  <c r="F223" i="8" s="1"/>
  <c r="G223" i="8" a="1"/>
  <c r="G223" i="8" s="1"/>
  <c r="F224" i="8" a="1"/>
  <c r="F224" i="8" s="1"/>
  <c r="G224" i="8" a="1"/>
  <c r="G224" i="8" s="1"/>
  <c r="F225" i="8" a="1"/>
  <c r="F225" i="8" s="1"/>
  <c r="G225" i="8" a="1"/>
  <c r="G225" i="8" s="1"/>
  <c r="F226" i="8" a="1"/>
  <c r="F226" i="8" s="1"/>
  <c r="G226" i="8" a="1"/>
  <c r="G226" i="8" s="1"/>
  <c r="F227" i="8" a="1"/>
  <c r="F227" i="8" s="1"/>
  <c r="G227" i="8" a="1"/>
  <c r="G227" i="8" s="1"/>
  <c r="F228" i="8" a="1"/>
  <c r="F228" i="8" s="1"/>
  <c r="G228" i="8" a="1"/>
  <c r="G228" i="8" s="1"/>
  <c r="F229" i="8" a="1"/>
  <c r="F229" i="8" s="1"/>
  <c r="G229" i="8" a="1"/>
  <c r="G229" i="8" s="1"/>
  <c r="F230" i="8" a="1"/>
  <c r="F230" i="8" s="1"/>
  <c r="G230" i="8" a="1"/>
  <c r="G230" i="8" s="1"/>
  <c r="F231" i="8" a="1"/>
  <c r="F231" i="8" s="1"/>
  <c r="G231" i="8" a="1"/>
  <c r="G231" i="8" s="1"/>
  <c r="F232" i="8" a="1"/>
  <c r="F232" i="8" s="1"/>
  <c r="G232" i="8" a="1"/>
  <c r="G232" i="8" s="1"/>
  <c r="F233" i="8" a="1"/>
  <c r="F233" i="8" s="1"/>
  <c r="G233" i="8" a="1"/>
  <c r="G233" i="8" s="1"/>
  <c r="F234" i="8" a="1"/>
  <c r="F234" i="8" s="1"/>
  <c r="G234" i="8" a="1"/>
  <c r="G234" i="8" s="1"/>
  <c r="F235" i="8" a="1"/>
  <c r="F235" i="8" s="1"/>
  <c r="G235" i="8" a="1"/>
  <c r="G235" i="8" s="1"/>
  <c r="F236" i="8" a="1"/>
  <c r="F236" i="8" s="1"/>
  <c r="G236" i="8" a="1"/>
  <c r="G236" i="8" s="1"/>
  <c r="F237" i="8" a="1"/>
  <c r="F237" i="8" s="1"/>
  <c r="G237" i="8" a="1"/>
  <c r="G237" i="8" s="1"/>
  <c r="F238" i="8" a="1"/>
  <c r="F238" i="8" s="1"/>
  <c r="G238" i="8" a="1"/>
  <c r="G238" i="8" s="1"/>
  <c r="F239" i="8" a="1"/>
  <c r="F239" i="8" s="1"/>
  <c r="G239" i="8" a="1"/>
  <c r="G239" i="8" s="1"/>
  <c r="F240" i="8" a="1"/>
  <c r="F240" i="8" s="1"/>
  <c r="G240" i="8" a="1"/>
  <c r="G240" i="8" s="1"/>
  <c r="F241" i="8" a="1"/>
  <c r="F241" i="8" s="1"/>
  <c r="G241" i="8" a="1"/>
  <c r="G241" i="8" s="1"/>
  <c r="F242" i="8" a="1"/>
  <c r="F242" i="8" s="1"/>
  <c r="G242" i="8" a="1"/>
  <c r="G242" i="8" s="1"/>
  <c r="F243" i="8" a="1"/>
  <c r="F243" i="8" s="1"/>
  <c r="G243" i="8" a="1"/>
  <c r="G243" i="8" s="1"/>
  <c r="F244" i="8" a="1"/>
  <c r="F244" i="8" s="1"/>
  <c r="G244" i="8" a="1"/>
  <c r="G244" i="8" s="1"/>
  <c r="F245" i="8" a="1"/>
  <c r="F245" i="8" s="1"/>
  <c r="G245" i="8" a="1"/>
  <c r="G245" i="8" s="1"/>
  <c r="F246" i="8" a="1"/>
  <c r="F246" i="8" s="1"/>
  <c r="G246" i="8" a="1"/>
  <c r="G246" i="8" s="1"/>
  <c r="F247" i="8" a="1"/>
  <c r="F247" i="8" s="1"/>
  <c r="G247" i="8" a="1"/>
  <c r="G247" i="8" s="1"/>
  <c r="F248" i="8" a="1"/>
  <c r="F248" i="8" s="1"/>
  <c r="G248" i="8" a="1"/>
  <c r="G248" i="8" s="1"/>
  <c r="F249" i="8" a="1"/>
  <c r="F249" i="8" s="1"/>
  <c r="G249" i="8" a="1"/>
  <c r="G249" i="8" s="1"/>
  <c r="F250" i="8" a="1"/>
  <c r="F250" i="8" s="1"/>
  <c r="G250" i="8" a="1"/>
  <c r="G250" i="8" s="1"/>
  <c r="F251" i="8" a="1"/>
  <c r="F251" i="8" s="1"/>
  <c r="G251" i="8" a="1"/>
  <c r="G251" i="8" s="1"/>
  <c r="F252" i="8" a="1"/>
  <c r="F252" i="8" s="1"/>
  <c r="G252" i="8" a="1"/>
  <c r="G252" i="8" s="1"/>
  <c r="F253" i="8" a="1"/>
  <c r="F253" i="8" s="1"/>
  <c r="G253" i="8" a="1"/>
  <c r="G253" i="8" s="1"/>
  <c r="F254" i="8" a="1"/>
  <c r="F254" i="8" s="1"/>
  <c r="G254" i="8" a="1"/>
  <c r="G254" i="8" s="1"/>
  <c r="F255" i="8" a="1"/>
  <c r="F255" i="8" s="1"/>
  <c r="G255" i="8" a="1"/>
  <c r="G255" i="8" s="1"/>
  <c r="F256" i="8" a="1"/>
  <c r="F256" i="8" s="1"/>
  <c r="G256" i="8" a="1"/>
  <c r="G256" i="8" s="1"/>
  <c r="F257" i="8" a="1"/>
  <c r="F257" i="8" s="1"/>
  <c r="G257" i="8" a="1"/>
  <c r="G257" i="8" s="1"/>
  <c r="F258" i="8" a="1"/>
  <c r="F258" i="8" s="1"/>
  <c r="G258" i="8" a="1"/>
  <c r="G258" i="8" s="1"/>
  <c r="F259" i="8" a="1"/>
  <c r="F259" i="8" s="1"/>
  <c r="G259" i="8" a="1"/>
  <c r="G259" i="8" s="1"/>
  <c r="F260" i="8" a="1"/>
  <c r="F260" i="8" s="1"/>
  <c r="G260" i="8" a="1"/>
  <c r="G260" i="8" s="1"/>
  <c r="F261" i="8" a="1"/>
  <c r="F261" i="8" s="1"/>
  <c r="G261" i="8" a="1"/>
  <c r="G261" i="8" s="1"/>
  <c r="F262" i="8" a="1"/>
  <c r="F262" i="8" s="1"/>
  <c r="G262" i="8" a="1"/>
  <c r="G262" i="8" s="1"/>
  <c r="F263" i="8" a="1"/>
  <c r="F263" i="8" s="1"/>
  <c r="G263" i="8" a="1"/>
  <c r="G263" i="8" s="1"/>
  <c r="F264" i="8" a="1"/>
  <c r="F264" i="8" s="1"/>
  <c r="G264" i="8" a="1"/>
  <c r="G264" i="8" s="1"/>
  <c r="F265" i="8" a="1"/>
  <c r="F265" i="8" s="1"/>
  <c r="G265" i="8" a="1"/>
  <c r="G265" i="8" s="1"/>
  <c r="F266" i="8" a="1"/>
  <c r="F266" i="8" s="1"/>
  <c r="G266" i="8" a="1"/>
  <c r="G266" i="8" s="1"/>
  <c r="F267" i="8" a="1"/>
  <c r="F267" i="8" s="1"/>
  <c r="G267" i="8" a="1"/>
  <c r="G267" i="8" s="1"/>
  <c r="F268" i="8" a="1"/>
  <c r="F268" i="8" s="1"/>
  <c r="G268" i="8" a="1"/>
  <c r="G268" i="8" s="1"/>
  <c r="F269" i="8" a="1"/>
  <c r="F269" i="8" s="1"/>
  <c r="G269" i="8" a="1"/>
  <c r="G269" i="8" s="1"/>
  <c r="F270" i="8" a="1"/>
  <c r="F270" i="8" s="1"/>
  <c r="G270" i="8" a="1"/>
  <c r="G270" i="8" s="1"/>
  <c r="F271" i="8" a="1"/>
  <c r="F271" i="8" s="1"/>
  <c r="G271" i="8" a="1"/>
  <c r="G271" i="8" s="1"/>
  <c r="F272" i="8" a="1"/>
  <c r="F272" i="8" s="1"/>
  <c r="G272" i="8" a="1"/>
  <c r="G272" i="8" s="1"/>
  <c r="F273" i="8" a="1"/>
  <c r="F273" i="8" s="1"/>
  <c r="G273" i="8" a="1"/>
  <c r="G273" i="8" s="1"/>
  <c r="F274" i="8" a="1"/>
  <c r="F274" i="8" s="1"/>
  <c r="G274" i="8" a="1"/>
  <c r="G274" i="8" s="1"/>
  <c r="F275" i="8" a="1"/>
  <c r="F275" i="8" s="1"/>
  <c r="G275" i="8" a="1"/>
  <c r="G275" i="8" s="1"/>
  <c r="F276" i="8" a="1"/>
  <c r="F276" i="8" s="1"/>
  <c r="G276" i="8" a="1"/>
  <c r="G276" i="8" s="1"/>
  <c r="F277" i="8" a="1"/>
  <c r="F277" i="8" s="1"/>
  <c r="G277" i="8" a="1"/>
  <c r="G277" i="8" s="1"/>
  <c r="F278" i="8" a="1"/>
  <c r="F278" i="8" s="1"/>
  <c r="G278" i="8" a="1"/>
  <c r="G278" i="8" s="1"/>
  <c r="F279" i="8" a="1"/>
  <c r="F279" i="8" s="1"/>
  <c r="G279" i="8" a="1"/>
  <c r="G279" i="8" s="1"/>
  <c r="F280" i="8" a="1"/>
  <c r="F280" i="8" s="1"/>
  <c r="G280" i="8" a="1"/>
  <c r="G280" i="8" s="1"/>
  <c r="F281" i="8" a="1"/>
  <c r="F281" i="8" s="1"/>
  <c r="G281" i="8" a="1"/>
  <c r="G281" i="8" s="1"/>
  <c r="F282" i="8" a="1"/>
  <c r="F282" i="8" s="1"/>
  <c r="G282" i="8" a="1"/>
  <c r="G282" i="8" s="1"/>
  <c r="F283" i="8" a="1"/>
  <c r="F283" i="8" s="1"/>
  <c r="G283" i="8" a="1"/>
  <c r="G283" i="8" s="1"/>
  <c r="F284" i="8" a="1"/>
  <c r="F284" i="8" s="1"/>
  <c r="G284" i="8" a="1"/>
  <c r="G284" i="8" s="1"/>
  <c r="F285" i="8" a="1"/>
  <c r="F285" i="8" s="1"/>
  <c r="G285" i="8" a="1"/>
  <c r="G285" i="8" s="1"/>
  <c r="F286" i="8" a="1"/>
  <c r="F286" i="8" s="1"/>
  <c r="G286" i="8" a="1"/>
  <c r="G286" i="8" s="1"/>
  <c r="F287" i="8" a="1"/>
  <c r="F287" i="8" s="1"/>
  <c r="G287" i="8" a="1"/>
  <c r="G287" i="8" s="1"/>
  <c r="F288" i="8" a="1"/>
  <c r="F288" i="8" s="1"/>
  <c r="G288" i="8" a="1"/>
  <c r="G288" i="8" s="1"/>
  <c r="F289" i="8" a="1"/>
  <c r="F289" i="8" s="1"/>
  <c r="G289" i="8" a="1"/>
  <c r="G289" i="8" s="1"/>
  <c r="F290" i="8" a="1"/>
  <c r="F290" i="8" s="1"/>
  <c r="G290" i="8" a="1"/>
  <c r="G290" i="8" s="1"/>
  <c r="F291" i="8" a="1"/>
  <c r="F291" i="8" s="1"/>
  <c r="G291" i="8" a="1"/>
  <c r="G291" i="8" s="1"/>
  <c r="F292" i="8" a="1"/>
  <c r="F292" i="8" s="1"/>
  <c r="G292" i="8" a="1"/>
  <c r="G292" i="8" s="1"/>
  <c r="F293" i="8" a="1"/>
  <c r="F293" i="8" s="1"/>
  <c r="G293" i="8" a="1"/>
  <c r="G293" i="8" s="1"/>
  <c r="F294" i="8" a="1"/>
  <c r="F294" i="8" s="1"/>
  <c r="G294" i="8" a="1"/>
  <c r="G294" i="8" s="1"/>
  <c r="F295" i="8" a="1"/>
  <c r="F295" i="8" s="1"/>
  <c r="G295" i="8" a="1"/>
  <c r="G295" i="8" s="1"/>
  <c r="F296" i="8" a="1"/>
  <c r="F296" i="8" s="1"/>
  <c r="G296" i="8" a="1"/>
  <c r="G296" i="8" s="1"/>
  <c r="F297" i="8" a="1"/>
  <c r="F297" i="8" s="1"/>
  <c r="G297" i="8" a="1"/>
  <c r="G297" i="8" s="1"/>
  <c r="F298" i="8" a="1"/>
  <c r="F298" i="8" s="1"/>
  <c r="G298" i="8" a="1"/>
  <c r="G298" i="8" s="1"/>
  <c r="F299" i="8" a="1"/>
  <c r="F299" i="8" s="1"/>
  <c r="G299" i="8" a="1"/>
  <c r="G299" i="8" s="1"/>
  <c r="F300" i="8" a="1"/>
  <c r="F300" i="8" s="1"/>
  <c r="G300" i="8" a="1"/>
  <c r="G300" i="8" s="1"/>
  <c r="F301" i="8" a="1"/>
  <c r="F301" i="8" s="1"/>
  <c r="G301" i="8" a="1"/>
  <c r="G301" i="8" s="1"/>
  <c r="F302" i="8" a="1"/>
  <c r="F302" i="8" s="1"/>
  <c r="G302" i="8" a="1"/>
  <c r="G302" i="8" s="1"/>
  <c r="F303" i="8" a="1"/>
  <c r="F303" i="8" s="1"/>
  <c r="G303" i="8" a="1"/>
  <c r="G303" i="8" s="1"/>
  <c r="F304" i="8" a="1"/>
  <c r="F304" i="8" s="1"/>
  <c r="G304" i="8" a="1"/>
  <c r="G304" i="8" s="1"/>
  <c r="F305" i="8" a="1"/>
  <c r="F305" i="8" s="1"/>
  <c r="G305" i="8" a="1"/>
  <c r="G305" i="8" s="1"/>
  <c r="F306" i="8" a="1"/>
  <c r="F306" i="8" s="1"/>
  <c r="G306" i="8" a="1"/>
  <c r="G306" i="8" s="1"/>
  <c r="F307" i="8" a="1"/>
  <c r="F307" i="8" s="1"/>
  <c r="G307" i="8" a="1"/>
  <c r="G307" i="8" s="1"/>
  <c r="F308" i="8" a="1"/>
  <c r="F308" i="8" s="1"/>
  <c r="G308" i="8" a="1"/>
  <c r="G308" i="8" s="1"/>
  <c r="F309" i="8" a="1"/>
  <c r="F309" i="8" s="1"/>
  <c r="G309" i="8" a="1"/>
  <c r="G309" i="8" s="1"/>
  <c r="F310" i="8" a="1"/>
  <c r="F310" i="8" s="1"/>
  <c r="G310" i="8" a="1"/>
  <c r="G310" i="8" s="1"/>
  <c r="F311" i="8" a="1"/>
  <c r="F311" i="8" s="1"/>
  <c r="G311" i="8" a="1"/>
  <c r="G311" i="8" s="1"/>
  <c r="F312" i="8" a="1"/>
  <c r="F312" i="8" s="1"/>
  <c r="G312" i="8" a="1"/>
  <c r="G312" i="8" s="1"/>
  <c r="F313" i="8" a="1"/>
  <c r="F313" i="8" s="1"/>
  <c r="G313" i="8" a="1"/>
  <c r="G313" i="8" s="1"/>
  <c r="F314" i="8" a="1"/>
  <c r="F314" i="8" s="1"/>
  <c r="G314" i="8" a="1"/>
  <c r="G314" i="8" s="1"/>
  <c r="F315" i="8" a="1"/>
  <c r="F315" i="8" s="1"/>
  <c r="G315" i="8" a="1"/>
  <c r="G315" i="8" s="1"/>
  <c r="F316" i="8" a="1"/>
  <c r="F316" i="8" s="1"/>
  <c r="G316" i="8" a="1"/>
  <c r="G316" i="8" s="1"/>
  <c r="F317" i="8" a="1"/>
  <c r="F317" i="8" s="1"/>
  <c r="G317" i="8" a="1"/>
  <c r="G317" i="8" s="1"/>
  <c r="F318" i="8" a="1"/>
  <c r="F318" i="8" s="1"/>
  <c r="G318" i="8" a="1"/>
  <c r="G318" i="8" s="1"/>
  <c r="F319" i="8" a="1"/>
  <c r="F319" i="8" s="1"/>
  <c r="G319" i="8" a="1"/>
  <c r="G319" i="8" s="1"/>
  <c r="F320" i="8" a="1"/>
  <c r="F320" i="8" s="1"/>
  <c r="G320" i="8" a="1"/>
  <c r="G320" i="8" s="1"/>
  <c r="F321" i="8" a="1"/>
  <c r="F321" i="8" s="1"/>
  <c r="G321" i="8" a="1"/>
  <c r="G321" i="8" s="1"/>
  <c r="F322" i="8" a="1"/>
  <c r="F322" i="8" s="1"/>
  <c r="G322" i="8" a="1"/>
  <c r="G322" i="8" s="1"/>
  <c r="F323" i="8" a="1"/>
  <c r="F323" i="8" s="1"/>
  <c r="G323" i="8" a="1"/>
  <c r="G323" i="8" s="1"/>
  <c r="F324" i="8" a="1"/>
  <c r="F324" i="8" s="1"/>
  <c r="G324" i="8" a="1"/>
  <c r="G324" i="8" s="1"/>
  <c r="F325" i="8" a="1"/>
  <c r="F325" i="8" s="1"/>
  <c r="G325" i="8" a="1"/>
  <c r="G325" i="8" s="1"/>
  <c r="F326" i="8" a="1"/>
  <c r="F326" i="8" s="1"/>
  <c r="G326" i="8" a="1"/>
  <c r="G326" i="8" s="1"/>
  <c r="F327" i="8" a="1"/>
  <c r="F327" i="8" s="1"/>
  <c r="G327" i="8" a="1"/>
  <c r="G327" i="8" s="1"/>
  <c r="F328" i="8" a="1"/>
  <c r="F328" i="8" s="1"/>
  <c r="G328" i="8" a="1"/>
  <c r="G328" i="8" s="1"/>
  <c r="F329" i="8" a="1"/>
  <c r="F329" i="8" s="1"/>
  <c r="G329" i="8" a="1"/>
  <c r="G329" i="8" s="1"/>
  <c r="F330" i="8" a="1"/>
  <c r="F330" i="8" s="1"/>
  <c r="G330" i="8" a="1"/>
  <c r="G330" i="8" s="1"/>
  <c r="F331" i="8" a="1"/>
  <c r="F331" i="8" s="1"/>
  <c r="G331" i="8" a="1"/>
  <c r="G331" i="8" s="1"/>
  <c r="F332" i="8" a="1"/>
  <c r="F332" i="8" s="1"/>
  <c r="G332" i="8" a="1"/>
  <c r="G332" i="8" s="1"/>
  <c r="F333" i="8" a="1"/>
  <c r="F333" i="8" s="1"/>
  <c r="G333" i="8" a="1"/>
  <c r="G333" i="8" s="1"/>
  <c r="F334" i="8" a="1"/>
  <c r="F334" i="8" s="1"/>
  <c r="G334" i="8" a="1"/>
  <c r="G334" i="8" s="1"/>
  <c r="F335" i="8" a="1"/>
  <c r="F335" i="8" s="1"/>
  <c r="G335" i="8" a="1"/>
  <c r="G335" i="8" s="1"/>
  <c r="F336" i="8" a="1"/>
  <c r="F336" i="8" s="1"/>
  <c r="G336" i="8" a="1"/>
  <c r="G336" i="8" s="1"/>
  <c r="F337" i="8" a="1"/>
  <c r="F337" i="8" s="1"/>
  <c r="G337" i="8" a="1"/>
  <c r="G337" i="8" s="1"/>
  <c r="F338" i="8" a="1"/>
  <c r="F338" i="8" s="1"/>
  <c r="G338" i="8" a="1"/>
  <c r="G338" i="8" s="1"/>
  <c r="F339" i="8" a="1"/>
  <c r="F339" i="8" s="1"/>
  <c r="G339" i="8" a="1"/>
  <c r="G339" i="8" s="1"/>
  <c r="F340" i="8" a="1"/>
  <c r="F340" i="8" s="1"/>
  <c r="G340" i="8" a="1"/>
  <c r="G340" i="8" s="1"/>
  <c r="F341" i="8" a="1"/>
  <c r="F341" i="8" s="1"/>
  <c r="G341" i="8" a="1"/>
  <c r="G341" i="8" s="1"/>
  <c r="F342" i="8" a="1"/>
  <c r="F342" i="8" s="1"/>
  <c r="G342" i="8" a="1"/>
  <c r="G342" i="8" s="1"/>
  <c r="F343" i="8" a="1"/>
  <c r="F343" i="8" s="1"/>
  <c r="G343" i="8" a="1"/>
  <c r="G343" i="8" s="1"/>
  <c r="F344" i="8" a="1"/>
  <c r="F344" i="8" s="1"/>
  <c r="G344" i="8" a="1"/>
  <c r="G344" i="8" s="1"/>
  <c r="F345" i="8" a="1"/>
  <c r="F345" i="8" s="1"/>
  <c r="G345" i="8" a="1"/>
  <c r="G345" i="8" s="1"/>
  <c r="F346" i="8" a="1"/>
  <c r="F346" i="8" s="1"/>
  <c r="G346" i="8" a="1"/>
  <c r="G346" i="8" s="1"/>
  <c r="F347" i="8" a="1"/>
  <c r="F347" i="8" s="1"/>
  <c r="G347" i="8" a="1"/>
  <c r="G347" i="8" s="1"/>
  <c r="F348" i="8" a="1"/>
  <c r="F348" i="8" s="1"/>
  <c r="G348" i="8" a="1"/>
  <c r="G348" i="8" s="1"/>
  <c r="F349" i="8" a="1"/>
  <c r="F349" i="8" s="1"/>
  <c r="G349" i="8" a="1"/>
  <c r="G349" i="8" s="1"/>
  <c r="F350" i="8" a="1"/>
  <c r="F350" i="8" s="1"/>
  <c r="G350" i="8" a="1"/>
  <c r="G350" i="8" s="1"/>
  <c r="F351" i="8" a="1"/>
  <c r="F351" i="8" s="1"/>
  <c r="G351" i="8" a="1"/>
  <c r="G351" i="8" s="1"/>
  <c r="F352" i="8" a="1"/>
  <c r="F352" i="8" s="1"/>
  <c r="G352" i="8" a="1"/>
  <c r="G352" i="8" s="1"/>
  <c r="F353" i="8" a="1"/>
  <c r="F353" i="8" s="1"/>
  <c r="G353" i="8" a="1"/>
  <c r="G353" i="8" s="1"/>
  <c r="F354" i="8" a="1"/>
  <c r="F354" i="8" s="1"/>
  <c r="G354" i="8" a="1"/>
  <c r="G354" i="8" s="1"/>
  <c r="F355" i="8" a="1"/>
  <c r="F355" i="8" s="1"/>
  <c r="G355" i="8" a="1"/>
  <c r="G355" i="8" s="1"/>
  <c r="F356" i="8" a="1"/>
  <c r="F356" i="8" s="1"/>
  <c r="G356" i="8" a="1"/>
  <c r="G356" i="8" s="1"/>
  <c r="F357" i="8" a="1"/>
  <c r="F357" i="8" s="1"/>
  <c r="G357" i="8" a="1"/>
  <c r="G357" i="8" s="1"/>
  <c r="F358" i="8" a="1"/>
  <c r="F358" i="8" s="1"/>
  <c r="G358" i="8" a="1"/>
  <c r="G358" i="8" s="1"/>
  <c r="F359" i="8" a="1"/>
  <c r="F359" i="8" s="1"/>
  <c r="G359" i="8" a="1"/>
  <c r="G359" i="8" s="1"/>
  <c r="F360" i="8" a="1"/>
  <c r="F360" i="8" s="1"/>
  <c r="G360" i="8" a="1"/>
  <c r="G360" i="8" s="1"/>
  <c r="F361" i="8" a="1"/>
  <c r="F361" i="8" s="1"/>
  <c r="G361" i="8" a="1"/>
  <c r="G361" i="8" s="1"/>
  <c r="F362" i="8" a="1"/>
  <c r="F362" i="8" s="1"/>
  <c r="G362" i="8" a="1"/>
  <c r="G362" i="8" s="1"/>
  <c r="F363" i="8" a="1"/>
  <c r="F363" i="8" s="1"/>
  <c r="G363" i="8" a="1"/>
  <c r="G363" i="8" s="1"/>
  <c r="F364" i="8" a="1"/>
  <c r="F364" i="8" s="1"/>
  <c r="G364" i="8" a="1"/>
  <c r="G364" i="8" s="1"/>
  <c r="F365" i="8" a="1"/>
  <c r="F365" i="8" s="1"/>
  <c r="G365" i="8" a="1"/>
  <c r="G365" i="8" s="1"/>
  <c r="F366" i="8" a="1"/>
  <c r="F366" i="8" s="1"/>
  <c r="G366" i="8" a="1"/>
  <c r="G366" i="8" s="1"/>
  <c r="F367" i="8" a="1"/>
  <c r="F367" i="8" s="1"/>
  <c r="G367" i="8" a="1"/>
  <c r="G367" i="8" s="1"/>
  <c r="F368" i="8" a="1"/>
  <c r="F368" i="8" s="1"/>
  <c r="G368" i="8" a="1"/>
  <c r="G368" i="8" s="1"/>
  <c r="F369" i="8" a="1"/>
  <c r="F369" i="8" s="1"/>
  <c r="G369" i="8" a="1"/>
  <c r="G369" i="8" s="1"/>
  <c r="F370" i="8" a="1"/>
  <c r="F370" i="8" s="1"/>
  <c r="G370" i="8" a="1"/>
  <c r="G370" i="8" s="1"/>
  <c r="F371" i="8" a="1"/>
  <c r="F371" i="8" s="1"/>
  <c r="G371" i="8" a="1"/>
  <c r="G371" i="8" s="1"/>
  <c r="F372" i="8" a="1"/>
  <c r="F372" i="8" s="1"/>
  <c r="G372" i="8" a="1"/>
  <c r="G372" i="8" s="1"/>
  <c r="F373" i="8" a="1"/>
  <c r="F373" i="8" s="1"/>
  <c r="G373" i="8" a="1"/>
  <c r="G373" i="8" s="1"/>
  <c r="F374" i="8" a="1"/>
  <c r="F374" i="8" s="1"/>
  <c r="G374" i="8" a="1"/>
  <c r="G374" i="8" s="1"/>
  <c r="F375" i="8" a="1"/>
  <c r="F375" i="8" s="1"/>
  <c r="G375" i="8" a="1"/>
  <c r="G375" i="8" s="1"/>
  <c r="F376" i="8" a="1"/>
  <c r="F376" i="8" s="1"/>
  <c r="G376" i="8" a="1"/>
  <c r="G376" i="8" s="1"/>
  <c r="F377" i="8" a="1"/>
  <c r="F377" i="8" s="1"/>
  <c r="G377" i="8" a="1"/>
  <c r="G377" i="8" s="1"/>
  <c r="F378" i="8" a="1"/>
  <c r="F378" i="8" s="1"/>
  <c r="G378" i="8" a="1"/>
  <c r="G378" i="8" s="1"/>
  <c r="F379" i="8" a="1"/>
  <c r="F379" i="8" s="1"/>
  <c r="G379" i="8" a="1"/>
  <c r="G379" i="8" s="1"/>
  <c r="F380" i="8" a="1"/>
  <c r="F380" i="8" s="1"/>
  <c r="G380" i="8" a="1"/>
  <c r="G380" i="8" s="1"/>
  <c r="F381" i="8" a="1"/>
  <c r="F381" i="8" s="1"/>
  <c r="G381" i="8" a="1"/>
  <c r="G381" i="8" s="1"/>
  <c r="F382" i="8" a="1"/>
  <c r="F382" i="8" s="1"/>
  <c r="G382" i="8" a="1"/>
  <c r="G382" i="8" s="1"/>
  <c r="F383" i="8" a="1"/>
  <c r="F383" i="8" s="1"/>
  <c r="G383" i="8" a="1"/>
  <c r="G383" i="8" s="1"/>
  <c r="F384" i="8" a="1"/>
  <c r="F384" i="8" s="1"/>
  <c r="G384" i="8" a="1"/>
  <c r="G384" i="8" s="1"/>
  <c r="F385" i="8" a="1"/>
  <c r="F385" i="8" s="1"/>
  <c r="G385" i="8" a="1"/>
  <c r="G385" i="8" s="1"/>
  <c r="F386" i="8" a="1"/>
  <c r="F386" i="8" s="1"/>
  <c r="G386" i="8" a="1"/>
  <c r="G386" i="8" s="1"/>
  <c r="F387" i="8" a="1"/>
  <c r="F387" i="8" s="1"/>
  <c r="G387" i="8" a="1"/>
  <c r="G387" i="8" s="1"/>
  <c r="F388" i="8" a="1"/>
  <c r="F388" i="8" s="1"/>
  <c r="G388" i="8" a="1"/>
  <c r="G388" i="8" s="1"/>
  <c r="F389" i="8" a="1"/>
  <c r="F389" i="8" s="1"/>
  <c r="G389" i="8" a="1"/>
  <c r="G389" i="8" s="1"/>
  <c r="F390" i="8" a="1"/>
  <c r="F390" i="8" s="1"/>
  <c r="G390" i="8" a="1"/>
  <c r="G390" i="8" s="1"/>
  <c r="F391" i="8" a="1"/>
  <c r="F391" i="8" s="1"/>
  <c r="G391" i="8" a="1"/>
  <c r="G391" i="8" s="1"/>
  <c r="F392" i="8" a="1"/>
  <c r="F392" i="8" s="1"/>
  <c r="G392" i="8" a="1"/>
  <c r="G392" i="8" s="1"/>
  <c r="F393" i="8" a="1"/>
  <c r="F393" i="8" s="1"/>
  <c r="G393" i="8" a="1"/>
  <c r="G393" i="8" s="1"/>
  <c r="F394" i="8" a="1"/>
  <c r="F394" i="8" s="1"/>
  <c r="G394" i="8" a="1"/>
  <c r="G394" i="8" s="1"/>
  <c r="F395" i="8" a="1"/>
  <c r="F395" i="8" s="1"/>
  <c r="G395" i="8" a="1"/>
  <c r="G395" i="8" s="1"/>
  <c r="F396" i="8" a="1"/>
  <c r="F396" i="8" s="1"/>
  <c r="G396" i="8" a="1"/>
  <c r="G396" i="8" s="1"/>
  <c r="F397" i="8" a="1"/>
  <c r="F397" i="8" s="1"/>
  <c r="G397" i="8" a="1"/>
  <c r="G397" i="8" s="1"/>
  <c r="F398" i="8" a="1"/>
  <c r="F398" i="8" s="1"/>
  <c r="G398" i="8" a="1"/>
  <c r="G398" i="8" s="1"/>
  <c r="F399" i="8" a="1"/>
  <c r="F399" i="8" s="1"/>
  <c r="G399" i="8" a="1"/>
  <c r="G399" i="8" s="1"/>
  <c r="F400" i="8" a="1"/>
  <c r="F400" i="8" s="1"/>
  <c r="G400" i="8" a="1"/>
  <c r="G400" i="8" s="1"/>
  <c r="F401" i="8" a="1"/>
  <c r="F401" i="8" s="1"/>
  <c r="G401" i="8" a="1"/>
  <c r="G401" i="8" s="1"/>
  <c r="F402" i="8" a="1"/>
  <c r="F402" i="8" s="1"/>
  <c r="G402" i="8" a="1"/>
  <c r="G402" i="8" s="1"/>
  <c r="F403" i="8" a="1"/>
  <c r="F403" i="8" s="1"/>
  <c r="G403" i="8" a="1"/>
  <c r="G403" i="8" s="1"/>
  <c r="F404" i="8" a="1"/>
  <c r="F404" i="8" s="1"/>
  <c r="G404" i="8" a="1"/>
  <c r="G404" i="8" s="1"/>
  <c r="F405" i="8" a="1"/>
  <c r="F405" i="8" s="1"/>
  <c r="G405" i="8" a="1"/>
  <c r="G405" i="8" s="1"/>
  <c r="F406" i="8" a="1"/>
  <c r="F406" i="8" s="1"/>
  <c r="G406" i="8" a="1"/>
  <c r="G406" i="8" s="1"/>
  <c r="F407" i="8" a="1"/>
  <c r="F407" i="8" s="1"/>
  <c r="G407" i="8" a="1"/>
  <c r="G407" i="8" s="1"/>
  <c r="F408" i="8" a="1"/>
  <c r="F408" i="8" s="1"/>
  <c r="G408" i="8" a="1"/>
  <c r="G408" i="8" s="1"/>
  <c r="F409" i="8" a="1"/>
  <c r="F409" i="8" s="1"/>
  <c r="G409" i="8" a="1"/>
  <c r="G409" i="8" s="1"/>
  <c r="F410" i="8" a="1"/>
  <c r="F410" i="8" s="1"/>
  <c r="G410" i="8" a="1"/>
  <c r="G410" i="8" s="1"/>
  <c r="F411" i="8" a="1"/>
  <c r="F411" i="8" s="1"/>
  <c r="G411" i="8" a="1"/>
  <c r="G411" i="8" s="1"/>
  <c r="F412" i="8" a="1"/>
  <c r="F412" i="8" s="1"/>
  <c r="G412" i="8" a="1"/>
  <c r="G412" i="8" s="1"/>
  <c r="F413" i="8" a="1"/>
  <c r="F413" i="8" s="1"/>
  <c r="G413" i="8" a="1"/>
  <c r="G413" i="8" s="1"/>
  <c r="F414" i="8" a="1"/>
  <c r="F414" i="8" s="1"/>
  <c r="G414" i="8" a="1"/>
  <c r="G414" i="8" s="1"/>
  <c r="F415" i="8" a="1"/>
  <c r="F415" i="8" s="1"/>
  <c r="G415" i="8" a="1"/>
  <c r="G415" i="8" s="1"/>
  <c r="F416" i="8" a="1"/>
  <c r="F416" i="8" s="1"/>
  <c r="G416" i="8" a="1"/>
  <c r="G416" i="8" s="1"/>
  <c r="F417" i="8" a="1"/>
  <c r="F417" i="8" s="1"/>
  <c r="G417" i="8" a="1"/>
  <c r="G417" i="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5">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3"/>
        </ext>
      </extLst>
    </bk>
    <bk>
      <extLst>
        <ext uri="{3e2802c4-a4d2-4d8b-9148-e3be6c30e623}">
          <xlrd:rvb i="16"/>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7"/>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2"/>
        </ext>
      </extLst>
    </bk>
    <bk>
      <extLst>
        <ext uri="{3e2802c4-a4d2-4d8b-9148-e3be6c30e623}">
          <xlrd:rvb i="164"/>
        </ext>
      </extLst>
    </bk>
    <bk>
      <extLst>
        <ext uri="{3e2802c4-a4d2-4d8b-9148-e3be6c30e623}">
          <xlrd:rvb i="166"/>
        </ext>
      </extLst>
    </bk>
    <bk>
      <extLst>
        <ext uri="{3e2802c4-a4d2-4d8b-9148-e3be6c30e623}">
          <xlrd:rvb i="169"/>
        </ext>
      </extLst>
    </bk>
    <bk>
      <extLst>
        <ext uri="{3e2802c4-a4d2-4d8b-9148-e3be6c30e623}">
          <xlrd:rvb i="172"/>
        </ext>
      </extLst>
    </bk>
    <bk>
      <extLst>
        <ext uri="{3e2802c4-a4d2-4d8b-9148-e3be6c30e623}">
          <xlrd:rvb i="175"/>
        </ext>
      </extLst>
    </bk>
    <bk>
      <extLst>
        <ext uri="{3e2802c4-a4d2-4d8b-9148-e3be6c30e623}">
          <xlrd:rvb i="178"/>
        </ext>
      </extLst>
    </bk>
    <bk>
      <extLst>
        <ext uri="{3e2802c4-a4d2-4d8b-9148-e3be6c30e623}">
          <xlrd:rvb i="181"/>
        </ext>
      </extLst>
    </bk>
    <bk>
      <extLst>
        <ext uri="{3e2802c4-a4d2-4d8b-9148-e3be6c30e623}">
          <xlrd:rvb i="184"/>
        </ext>
      </extLst>
    </bk>
    <bk>
      <extLst>
        <ext uri="{3e2802c4-a4d2-4d8b-9148-e3be6c30e623}">
          <xlrd:rvb i="187"/>
        </ext>
      </extLst>
    </bk>
    <bk>
      <extLst>
        <ext uri="{3e2802c4-a4d2-4d8b-9148-e3be6c30e623}">
          <xlrd:rvb i="190"/>
        </ext>
      </extLst>
    </bk>
    <bk>
      <extLst>
        <ext uri="{3e2802c4-a4d2-4d8b-9148-e3be6c30e623}">
          <xlrd:rvb i="193"/>
        </ext>
      </extLst>
    </bk>
    <bk>
      <extLst>
        <ext uri="{3e2802c4-a4d2-4d8b-9148-e3be6c30e623}">
          <xlrd:rvb i="196"/>
        </ext>
      </extLst>
    </bk>
    <bk>
      <extLst>
        <ext uri="{3e2802c4-a4d2-4d8b-9148-e3be6c30e623}">
          <xlrd:rvb i="199"/>
        </ext>
      </extLst>
    </bk>
    <bk>
      <extLst>
        <ext uri="{3e2802c4-a4d2-4d8b-9148-e3be6c30e623}">
          <xlrd:rvb i="202"/>
        </ext>
      </extLst>
    </bk>
    <bk>
      <extLst>
        <ext uri="{3e2802c4-a4d2-4d8b-9148-e3be6c30e623}">
          <xlrd:rvb i="208"/>
        </ext>
      </extLst>
    </bk>
    <bk>
      <extLst>
        <ext uri="{3e2802c4-a4d2-4d8b-9148-e3be6c30e623}">
          <xlrd:rvb i="211"/>
        </ext>
      </extLst>
    </bk>
    <bk>
      <extLst>
        <ext uri="{3e2802c4-a4d2-4d8b-9148-e3be6c30e623}">
          <xlrd:rvb i="214"/>
        </ext>
      </extLst>
    </bk>
    <bk>
      <extLst>
        <ext uri="{3e2802c4-a4d2-4d8b-9148-e3be6c30e623}">
          <xlrd:rvb i="217"/>
        </ext>
      </extLst>
    </bk>
    <bk>
      <extLst>
        <ext uri="{3e2802c4-a4d2-4d8b-9148-e3be6c30e623}">
          <xlrd:rvb i="220"/>
        </ext>
      </extLst>
    </bk>
    <bk>
      <extLst>
        <ext uri="{3e2802c4-a4d2-4d8b-9148-e3be6c30e623}">
          <xlrd:rvb i="223"/>
        </ext>
      </extLst>
    </bk>
    <bk>
      <extLst>
        <ext uri="{3e2802c4-a4d2-4d8b-9148-e3be6c30e623}">
          <xlrd:rvb i="226"/>
        </ext>
      </extLst>
    </bk>
    <bk>
      <extLst>
        <ext uri="{3e2802c4-a4d2-4d8b-9148-e3be6c30e623}">
          <xlrd:rvb i="229"/>
        </ext>
      </extLst>
    </bk>
    <bk>
      <extLst>
        <ext uri="{3e2802c4-a4d2-4d8b-9148-e3be6c30e623}">
          <xlrd:rvb i="232"/>
        </ext>
      </extLst>
    </bk>
    <bk>
      <extLst>
        <ext uri="{3e2802c4-a4d2-4d8b-9148-e3be6c30e623}">
          <xlrd:rvb i="235"/>
        </ext>
      </extLst>
    </bk>
    <bk>
      <extLst>
        <ext uri="{3e2802c4-a4d2-4d8b-9148-e3be6c30e623}">
          <xlrd:rvb i="238"/>
        </ext>
      </extLst>
    </bk>
    <bk>
      <extLst>
        <ext uri="{3e2802c4-a4d2-4d8b-9148-e3be6c30e623}">
          <xlrd:rvb i="241"/>
        </ext>
      </extLst>
    </bk>
    <bk>
      <extLst>
        <ext uri="{3e2802c4-a4d2-4d8b-9148-e3be6c30e623}">
          <xlrd:rvb i="244"/>
        </ext>
      </extLst>
    </bk>
    <bk>
      <extLst>
        <ext uri="{3e2802c4-a4d2-4d8b-9148-e3be6c30e623}">
          <xlrd:rvb i="247"/>
        </ext>
      </extLst>
    </bk>
    <bk>
      <extLst>
        <ext uri="{3e2802c4-a4d2-4d8b-9148-e3be6c30e623}">
          <xlrd:rvb i="250"/>
        </ext>
      </extLst>
    </bk>
    <bk>
      <extLst>
        <ext uri="{3e2802c4-a4d2-4d8b-9148-e3be6c30e623}">
          <xlrd:rvb i="253"/>
        </ext>
      </extLst>
    </bk>
    <bk>
      <extLst>
        <ext uri="{3e2802c4-a4d2-4d8b-9148-e3be6c30e623}">
          <xlrd:rvb i="256"/>
        </ext>
      </extLst>
    </bk>
    <bk>
      <extLst>
        <ext uri="{3e2802c4-a4d2-4d8b-9148-e3be6c30e623}">
          <xlrd:rvb i="259"/>
        </ext>
      </extLst>
    </bk>
    <bk>
      <extLst>
        <ext uri="{3e2802c4-a4d2-4d8b-9148-e3be6c30e623}">
          <xlrd:rvb i="262"/>
        </ext>
      </extLst>
    </bk>
    <bk>
      <extLst>
        <ext uri="{3e2802c4-a4d2-4d8b-9148-e3be6c30e623}">
          <xlrd:rvb i="265"/>
        </ext>
      </extLst>
    </bk>
    <bk>
      <extLst>
        <ext uri="{3e2802c4-a4d2-4d8b-9148-e3be6c30e623}">
          <xlrd:rvb i="268"/>
        </ext>
      </extLst>
    </bk>
    <bk>
      <extLst>
        <ext uri="{3e2802c4-a4d2-4d8b-9148-e3be6c30e623}">
          <xlrd:rvb i="271"/>
        </ext>
      </extLst>
    </bk>
    <bk>
      <extLst>
        <ext uri="{3e2802c4-a4d2-4d8b-9148-e3be6c30e623}">
          <xlrd:rvb i="277"/>
        </ext>
      </extLst>
    </bk>
    <bk>
      <extLst>
        <ext uri="{3e2802c4-a4d2-4d8b-9148-e3be6c30e623}">
          <xlrd:rvb i="280"/>
        </ext>
      </extLst>
    </bk>
    <bk>
      <extLst>
        <ext uri="{3e2802c4-a4d2-4d8b-9148-e3be6c30e623}">
          <xlrd:rvb i="283"/>
        </ext>
      </extLst>
    </bk>
    <bk>
      <extLst>
        <ext uri="{3e2802c4-a4d2-4d8b-9148-e3be6c30e623}">
          <xlrd:rvb i="286"/>
        </ext>
      </extLst>
    </bk>
    <bk>
      <extLst>
        <ext uri="{3e2802c4-a4d2-4d8b-9148-e3be6c30e623}">
          <xlrd:rvb i="289"/>
        </ext>
      </extLst>
    </bk>
    <bk>
      <extLst>
        <ext uri="{3e2802c4-a4d2-4d8b-9148-e3be6c30e623}">
          <xlrd:rvb i="292"/>
        </ext>
      </extLst>
    </bk>
    <bk>
      <extLst>
        <ext uri="{3e2802c4-a4d2-4d8b-9148-e3be6c30e623}">
          <xlrd:rvb i="295"/>
        </ext>
      </extLst>
    </bk>
    <bk>
      <extLst>
        <ext uri="{3e2802c4-a4d2-4d8b-9148-e3be6c30e623}">
          <xlrd:rvb i="298"/>
        </ext>
      </extLst>
    </bk>
    <bk>
      <extLst>
        <ext uri="{3e2802c4-a4d2-4d8b-9148-e3be6c30e623}">
          <xlrd:rvb i="301"/>
        </ext>
      </extLst>
    </bk>
    <bk>
      <extLst>
        <ext uri="{3e2802c4-a4d2-4d8b-9148-e3be6c30e623}">
          <xlrd:rvb i="304"/>
        </ext>
      </extLst>
    </bk>
    <bk>
      <extLst>
        <ext uri="{3e2802c4-a4d2-4d8b-9148-e3be6c30e623}">
          <xlrd:rvb i="311"/>
        </ext>
      </extLst>
    </bk>
    <bk>
      <extLst>
        <ext uri="{3e2802c4-a4d2-4d8b-9148-e3be6c30e623}">
          <xlrd:rvb i="314"/>
        </ext>
      </extLst>
    </bk>
    <bk>
      <extLst>
        <ext uri="{3e2802c4-a4d2-4d8b-9148-e3be6c30e623}">
          <xlrd:rvb i="317"/>
        </ext>
      </extLst>
    </bk>
    <bk>
      <extLst>
        <ext uri="{3e2802c4-a4d2-4d8b-9148-e3be6c30e623}">
          <xlrd:rvb i="320"/>
        </ext>
      </extLst>
    </bk>
    <bk>
      <extLst>
        <ext uri="{3e2802c4-a4d2-4d8b-9148-e3be6c30e623}">
          <xlrd:rvb i="323"/>
        </ext>
      </extLst>
    </bk>
    <bk>
      <extLst>
        <ext uri="{3e2802c4-a4d2-4d8b-9148-e3be6c30e623}">
          <xlrd:rvb i="326"/>
        </ext>
      </extLst>
    </bk>
    <bk>
      <extLst>
        <ext uri="{3e2802c4-a4d2-4d8b-9148-e3be6c30e623}">
          <xlrd:rvb i="329"/>
        </ext>
      </extLst>
    </bk>
    <bk>
      <extLst>
        <ext uri="{3e2802c4-a4d2-4d8b-9148-e3be6c30e623}">
          <xlrd:rvb i="332"/>
        </ext>
      </extLst>
    </bk>
    <bk>
      <extLst>
        <ext uri="{3e2802c4-a4d2-4d8b-9148-e3be6c30e623}">
          <xlrd:rvb i="335"/>
        </ext>
      </extLst>
    </bk>
    <bk>
      <extLst>
        <ext uri="{3e2802c4-a4d2-4d8b-9148-e3be6c30e623}">
          <xlrd:rvb i="338"/>
        </ext>
      </extLst>
    </bk>
    <bk>
      <extLst>
        <ext uri="{3e2802c4-a4d2-4d8b-9148-e3be6c30e623}">
          <xlrd:rvb i="341"/>
        </ext>
      </extLst>
    </bk>
    <bk>
      <extLst>
        <ext uri="{3e2802c4-a4d2-4d8b-9148-e3be6c30e623}">
          <xlrd:rvb i="344"/>
        </ext>
      </extLst>
    </bk>
    <bk>
      <extLst>
        <ext uri="{3e2802c4-a4d2-4d8b-9148-e3be6c30e623}">
          <xlrd:rvb i="347"/>
        </ext>
      </extLst>
    </bk>
    <bk>
      <extLst>
        <ext uri="{3e2802c4-a4d2-4d8b-9148-e3be6c30e623}">
          <xlrd:rvb i="350"/>
        </ext>
      </extLst>
    </bk>
    <bk>
      <extLst>
        <ext uri="{3e2802c4-a4d2-4d8b-9148-e3be6c30e623}">
          <xlrd:rvb i="353"/>
        </ext>
      </extLst>
    </bk>
    <bk>
      <extLst>
        <ext uri="{3e2802c4-a4d2-4d8b-9148-e3be6c30e623}">
          <xlrd:rvb i="359"/>
        </ext>
      </extLst>
    </bk>
    <bk>
      <extLst>
        <ext uri="{3e2802c4-a4d2-4d8b-9148-e3be6c30e623}">
          <xlrd:rvb i="362"/>
        </ext>
      </extLst>
    </bk>
    <bk>
      <extLst>
        <ext uri="{3e2802c4-a4d2-4d8b-9148-e3be6c30e623}">
          <xlrd:rvb i="365"/>
        </ext>
      </extLst>
    </bk>
    <bk>
      <extLst>
        <ext uri="{3e2802c4-a4d2-4d8b-9148-e3be6c30e623}">
          <xlrd:rvb i="368"/>
        </ext>
      </extLst>
    </bk>
    <bk>
      <extLst>
        <ext uri="{3e2802c4-a4d2-4d8b-9148-e3be6c30e623}">
          <xlrd:rvb i="371"/>
        </ext>
      </extLst>
    </bk>
    <bk>
      <extLst>
        <ext uri="{3e2802c4-a4d2-4d8b-9148-e3be6c30e623}">
          <xlrd:rvb i="377"/>
        </ext>
      </extLst>
    </bk>
    <bk>
      <extLst>
        <ext uri="{3e2802c4-a4d2-4d8b-9148-e3be6c30e623}">
          <xlrd:rvb i="380"/>
        </ext>
      </extLst>
    </bk>
    <bk>
      <extLst>
        <ext uri="{3e2802c4-a4d2-4d8b-9148-e3be6c30e623}">
          <xlrd:rvb i="383"/>
        </ext>
      </extLst>
    </bk>
    <bk>
      <extLst>
        <ext uri="{3e2802c4-a4d2-4d8b-9148-e3be6c30e623}">
          <xlrd:rvb i="386"/>
        </ext>
      </extLst>
    </bk>
    <bk>
      <extLst>
        <ext uri="{3e2802c4-a4d2-4d8b-9148-e3be6c30e623}">
          <xlrd:rvb i="389"/>
        </ext>
      </extLst>
    </bk>
    <bk>
      <extLst>
        <ext uri="{3e2802c4-a4d2-4d8b-9148-e3be6c30e623}">
          <xlrd:rvb i="392"/>
        </ext>
      </extLst>
    </bk>
    <bk>
      <extLst>
        <ext uri="{3e2802c4-a4d2-4d8b-9148-e3be6c30e623}">
          <xlrd:rvb i="395"/>
        </ext>
      </extLst>
    </bk>
    <bk>
      <extLst>
        <ext uri="{3e2802c4-a4d2-4d8b-9148-e3be6c30e623}">
          <xlrd:rvb i="398"/>
        </ext>
      </extLst>
    </bk>
    <bk>
      <extLst>
        <ext uri="{3e2802c4-a4d2-4d8b-9148-e3be6c30e623}">
          <xlrd:rvb i="401"/>
        </ext>
      </extLst>
    </bk>
    <bk>
      <extLst>
        <ext uri="{3e2802c4-a4d2-4d8b-9148-e3be6c30e623}">
          <xlrd:rvb i="404"/>
        </ext>
      </extLst>
    </bk>
    <bk>
      <extLst>
        <ext uri="{3e2802c4-a4d2-4d8b-9148-e3be6c30e623}">
          <xlrd:rvb i="407"/>
        </ext>
      </extLst>
    </bk>
    <bk>
      <extLst>
        <ext uri="{3e2802c4-a4d2-4d8b-9148-e3be6c30e623}">
          <xlrd:rvb i="410"/>
        </ext>
      </extLst>
    </bk>
    <bk>
      <extLst>
        <ext uri="{3e2802c4-a4d2-4d8b-9148-e3be6c30e623}">
          <xlrd:rvb i="413"/>
        </ext>
      </extLst>
    </bk>
    <bk>
      <extLst>
        <ext uri="{3e2802c4-a4d2-4d8b-9148-e3be6c30e623}">
          <xlrd:rvb i="416"/>
        </ext>
      </extLst>
    </bk>
    <bk>
      <extLst>
        <ext uri="{3e2802c4-a4d2-4d8b-9148-e3be6c30e623}">
          <xlrd:rvb i="419"/>
        </ext>
      </extLst>
    </bk>
    <bk>
      <extLst>
        <ext uri="{3e2802c4-a4d2-4d8b-9148-e3be6c30e623}">
          <xlrd:rvb i="422"/>
        </ext>
      </extLst>
    </bk>
    <bk>
      <extLst>
        <ext uri="{3e2802c4-a4d2-4d8b-9148-e3be6c30e623}">
          <xlrd:rvb i="425"/>
        </ext>
      </extLst>
    </bk>
    <bk>
      <extLst>
        <ext uri="{3e2802c4-a4d2-4d8b-9148-e3be6c30e623}">
          <xlrd:rvb i="428"/>
        </ext>
      </extLst>
    </bk>
    <bk>
      <extLst>
        <ext uri="{3e2802c4-a4d2-4d8b-9148-e3be6c30e623}">
          <xlrd:rvb i="431"/>
        </ext>
      </extLst>
    </bk>
    <bk>
      <extLst>
        <ext uri="{3e2802c4-a4d2-4d8b-9148-e3be6c30e623}">
          <xlrd:rvb i="434"/>
        </ext>
      </extLst>
    </bk>
    <bk>
      <extLst>
        <ext uri="{3e2802c4-a4d2-4d8b-9148-e3be6c30e623}">
          <xlrd:rvb i="437"/>
        </ext>
      </extLst>
    </bk>
    <bk>
      <extLst>
        <ext uri="{3e2802c4-a4d2-4d8b-9148-e3be6c30e623}">
          <xlrd:rvb i="440"/>
        </ext>
      </extLst>
    </bk>
    <bk>
      <extLst>
        <ext uri="{3e2802c4-a4d2-4d8b-9148-e3be6c30e623}">
          <xlrd:rvb i="443"/>
        </ext>
      </extLst>
    </bk>
    <bk>
      <extLst>
        <ext uri="{3e2802c4-a4d2-4d8b-9148-e3be6c30e623}">
          <xlrd:rvb i="446"/>
        </ext>
      </extLst>
    </bk>
    <bk>
      <extLst>
        <ext uri="{3e2802c4-a4d2-4d8b-9148-e3be6c30e623}">
          <xlrd:rvb i="449"/>
        </ext>
      </extLst>
    </bk>
    <bk>
      <extLst>
        <ext uri="{3e2802c4-a4d2-4d8b-9148-e3be6c30e623}">
          <xlrd:rvb i="452"/>
        </ext>
      </extLst>
    </bk>
    <bk>
      <extLst>
        <ext uri="{3e2802c4-a4d2-4d8b-9148-e3be6c30e623}">
          <xlrd:rvb i="455"/>
        </ext>
      </extLst>
    </bk>
    <bk>
      <extLst>
        <ext uri="{3e2802c4-a4d2-4d8b-9148-e3be6c30e623}">
          <xlrd:rvb i="458"/>
        </ext>
      </extLst>
    </bk>
    <bk>
      <extLst>
        <ext uri="{3e2802c4-a4d2-4d8b-9148-e3be6c30e623}">
          <xlrd:rvb i="461"/>
        </ext>
      </extLst>
    </bk>
    <bk>
      <extLst>
        <ext uri="{3e2802c4-a4d2-4d8b-9148-e3be6c30e623}">
          <xlrd:rvb i="464"/>
        </ext>
      </extLst>
    </bk>
    <bk>
      <extLst>
        <ext uri="{3e2802c4-a4d2-4d8b-9148-e3be6c30e623}">
          <xlrd:rvb i="467"/>
        </ext>
      </extLst>
    </bk>
    <bk>
      <extLst>
        <ext uri="{3e2802c4-a4d2-4d8b-9148-e3be6c30e623}">
          <xlrd:rvb i="470"/>
        </ext>
      </extLst>
    </bk>
    <bk>
      <extLst>
        <ext uri="{3e2802c4-a4d2-4d8b-9148-e3be6c30e623}">
          <xlrd:rvb i="473"/>
        </ext>
      </extLst>
    </bk>
    <bk>
      <extLst>
        <ext uri="{3e2802c4-a4d2-4d8b-9148-e3be6c30e623}">
          <xlrd:rvb i="476"/>
        </ext>
      </extLst>
    </bk>
    <bk>
      <extLst>
        <ext uri="{3e2802c4-a4d2-4d8b-9148-e3be6c30e623}">
          <xlrd:rvb i="479"/>
        </ext>
      </extLst>
    </bk>
    <bk>
      <extLst>
        <ext uri="{3e2802c4-a4d2-4d8b-9148-e3be6c30e623}">
          <xlrd:rvb i="482"/>
        </ext>
      </extLst>
    </bk>
    <bk>
      <extLst>
        <ext uri="{3e2802c4-a4d2-4d8b-9148-e3be6c30e623}">
          <xlrd:rvb i="485"/>
        </ext>
      </extLst>
    </bk>
    <bk>
      <extLst>
        <ext uri="{3e2802c4-a4d2-4d8b-9148-e3be6c30e623}">
          <xlrd:rvb i="491"/>
        </ext>
      </extLst>
    </bk>
    <bk>
      <extLst>
        <ext uri="{3e2802c4-a4d2-4d8b-9148-e3be6c30e623}">
          <xlrd:rvb i="494"/>
        </ext>
      </extLst>
    </bk>
    <bk>
      <extLst>
        <ext uri="{3e2802c4-a4d2-4d8b-9148-e3be6c30e623}">
          <xlrd:rvb i="497"/>
        </ext>
      </extLst>
    </bk>
    <bk>
      <extLst>
        <ext uri="{3e2802c4-a4d2-4d8b-9148-e3be6c30e623}">
          <xlrd:rvb i="500"/>
        </ext>
      </extLst>
    </bk>
    <bk>
      <extLst>
        <ext uri="{3e2802c4-a4d2-4d8b-9148-e3be6c30e623}">
          <xlrd:rvb i="503"/>
        </ext>
      </extLst>
    </bk>
    <bk>
      <extLst>
        <ext uri="{3e2802c4-a4d2-4d8b-9148-e3be6c30e623}">
          <xlrd:rvb i="506"/>
        </ext>
      </extLst>
    </bk>
    <bk>
      <extLst>
        <ext uri="{3e2802c4-a4d2-4d8b-9148-e3be6c30e623}">
          <xlrd:rvb i="512"/>
        </ext>
      </extLst>
    </bk>
    <bk>
      <extLst>
        <ext uri="{3e2802c4-a4d2-4d8b-9148-e3be6c30e623}">
          <xlrd:rvb i="514"/>
        </ext>
      </extLst>
    </bk>
    <bk>
      <extLst>
        <ext uri="{3e2802c4-a4d2-4d8b-9148-e3be6c30e623}">
          <xlrd:rvb i="517"/>
        </ext>
      </extLst>
    </bk>
    <bk>
      <extLst>
        <ext uri="{3e2802c4-a4d2-4d8b-9148-e3be6c30e623}">
          <xlrd:rvb i="520"/>
        </ext>
      </extLst>
    </bk>
    <bk>
      <extLst>
        <ext uri="{3e2802c4-a4d2-4d8b-9148-e3be6c30e623}">
          <xlrd:rvb i="523"/>
        </ext>
      </extLst>
    </bk>
    <bk>
      <extLst>
        <ext uri="{3e2802c4-a4d2-4d8b-9148-e3be6c30e623}">
          <xlrd:rvb i="526"/>
        </ext>
      </extLst>
    </bk>
    <bk>
      <extLst>
        <ext uri="{3e2802c4-a4d2-4d8b-9148-e3be6c30e623}">
          <xlrd:rvb i="529"/>
        </ext>
      </extLst>
    </bk>
    <bk>
      <extLst>
        <ext uri="{3e2802c4-a4d2-4d8b-9148-e3be6c30e623}">
          <xlrd:rvb i="532"/>
        </ext>
      </extLst>
    </bk>
    <bk>
      <extLst>
        <ext uri="{3e2802c4-a4d2-4d8b-9148-e3be6c30e623}">
          <xlrd:rvb i="535"/>
        </ext>
      </extLst>
    </bk>
    <bk>
      <extLst>
        <ext uri="{3e2802c4-a4d2-4d8b-9148-e3be6c30e623}">
          <xlrd:rvb i="538"/>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2"/>
        </ext>
      </extLst>
    </bk>
    <bk>
      <extLst>
        <ext uri="{3e2802c4-a4d2-4d8b-9148-e3be6c30e623}">
          <xlrd:rvb i="565"/>
        </ext>
      </extLst>
    </bk>
    <bk>
      <extLst>
        <ext uri="{3e2802c4-a4d2-4d8b-9148-e3be6c30e623}">
          <xlrd:rvb i="568"/>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80"/>
        </ext>
      </extLst>
    </bk>
    <bk>
      <extLst>
        <ext uri="{3e2802c4-a4d2-4d8b-9148-e3be6c30e623}">
          <xlrd:rvb i="583"/>
        </ext>
      </extLst>
    </bk>
    <bk>
      <extLst>
        <ext uri="{3e2802c4-a4d2-4d8b-9148-e3be6c30e623}">
          <xlrd:rvb i="586"/>
        </ext>
      </extLst>
    </bk>
    <bk>
      <extLst>
        <ext uri="{3e2802c4-a4d2-4d8b-9148-e3be6c30e623}">
          <xlrd:rvb i="589"/>
        </ext>
      </extLst>
    </bk>
    <bk>
      <extLst>
        <ext uri="{3e2802c4-a4d2-4d8b-9148-e3be6c30e623}">
          <xlrd:rvb i="592"/>
        </ext>
      </extLst>
    </bk>
    <bk>
      <extLst>
        <ext uri="{3e2802c4-a4d2-4d8b-9148-e3be6c30e623}">
          <xlrd:rvb i="595"/>
        </ext>
      </extLst>
    </bk>
    <bk>
      <extLst>
        <ext uri="{3e2802c4-a4d2-4d8b-9148-e3be6c30e623}">
          <xlrd:rvb i="597"/>
        </ext>
      </extLst>
    </bk>
    <bk>
      <extLst>
        <ext uri="{3e2802c4-a4d2-4d8b-9148-e3be6c30e623}">
          <xlrd:rvb i="600"/>
        </ext>
      </extLst>
    </bk>
    <bk>
      <extLst>
        <ext uri="{3e2802c4-a4d2-4d8b-9148-e3be6c30e623}">
          <xlrd:rvb i="603"/>
        </ext>
      </extLst>
    </bk>
    <bk>
      <extLst>
        <ext uri="{3e2802c4-a4d2-4d8b-9148-e3be6c30e623}">
          <xlrd:rvb i="606"/>
        </ext>
      </extLst>
    </bk>
    <bk>
      <extLst>
        <ext uri="{3e2802c4-a4d2-4d8b-9148-e3be6c30e623}">
          <xlrd:rvb i="609"/>
        </ext>
      </extLst>
    </bk>
    <bk>
      <extLst>
        <ext uri="{3e2802c4-a4d2-4d8b-9148-e3be6c30e623}">
          <xlrd:rvb i="612"/>
        </ext>
      </extLst>
    </bk>
    <bk>
      <extLst>
        <ext uri="{3e2802c4-a4d2-4d8b-9148-e3be6c30e623}">
          <xlrd:rvb i="614"/>
        </ext>
      </extLst>
    </bk>
    <bk>
      <extLst>
        <ext uri="{3e2802c4-a4d2-4d8b-9148-e3be6c30e623}">
          <xlrd:rvb i="617"/>
        </ext>
      </extLst>
    </bk>
    <bk>
      <extLst>
        <ext uri="{3e2802c4-a4d2-4d8b-9148-e3be6c30e623}">
          <xlrd:rvb i="620"/>
        </ext>
      </extLst>
    </bk>
    <bk>
      <extLst>
        <ext uri="{3e2802c4-a4d2-4d8b-9148-e3be6c30e623}">
          <xlrd:rvb i="623"/>
        </ext>
      </extLst>
    </bk>
    <bk>
      <extLst>
        <ext uri="{3e2802c4-a4d2-4d8b-9148-e3be6c30e623}">
          <xlrd:rvb i="626"/>
        </ext>
      </extLst>
    </bk>
    <bk>
      <extLst>
        <ext uri="{3e2802c4-a4d2-4d8b-9148-e3be6c30e623}">
          <xlrd:rvb i="629"/>
        </ext>
      </extLst>
    </bk>
    <bk>
      <extLst>
        <ext uri="{3e2802c4-a4d2-4d8b-9148-e3be6c30e623}">
          <xlrd:rvb i="632"/>
        </ext>
      </extLst>
    </bk>
    <bk>
      <extLst>
        <ext uri="{3e2802c4-a4d2-4d8b-9148-e3be6c30e623}">
          <xlrd:rvb i="638"/>
        </ext>
      </extLst>
    </bk>
    <bk>
      <extLst>
        <ext uri="{3e2802c4-a4d2-4d8b-9148-e3be6c30e623}">
          <xlrd:rvb i="641"/>
        </ext>
      </extLst>
    </bk>
    <bk>
      <extLst>
        <ext uri="{3e2802c4-a4d2-4d8b-9148-e3be6c30e623}">
          <xlrd:rvb i="644"/>
        </ext>
      </extLst>
    </bk>
    <bk>
      <extLst>
        <ext uri="{3e2802c4-a4d2-4d8b-9148-e3be6c30e623}">
          <xlrd:rvb i="647"/>
        </ext>
      </extLst>
    </bk>
    <bk>
      <extLst>
        <ext uri="{3e2802c4-a4d2-4d8b-9148-e3be6c30e623}">
          <xlrd:rvb i="650"/>
        </ext>
      </extLst>
    </bk>
    <bk>
      <extLst>
        <ext uri="{3e2802c4-a4d2-4d8b-9148-e3be6c30e623}">
          <xlrd:rvb i="653"/>
        </ext>
      </extLst>
    </bk>
    <bk>
      <extLst>
        <ext uri="{3e2802c4-a4d2-4d8b-9148-e3be6c30e623}">
          <xlrd:rvb i="656"/>
        </ext>
      </extLst>
    </bk>
    <bk>
      <extLst>
        <ext uri="{3e2802c4-a4d2-4d8b-9148-e3be6c30e623}">
          <xlrd:rvb i="659"/>
        </ext>
      </extLst>
    </bk>
    <bk>
      <extLst>
        <ext uri="{3e2802c4-a4d2-4d8b-9148-e3be6c30e623}">
          <xlrd:rvb i="662"/>
        </ext>
      </extLst>
    </bk>
    <bk>
      <extLst>
        <ext uri="{3e2802c4-a4d2-4d8b-9148-e3be6c30e623}">
          <xlrd:rvb i="665"/>
        </ext>
      </extLst>
    </bk>
    <bk>
      <extLst>
        <ext uri="{3e2802c4-a4d2-4d8b-9148-e3be6c30e623}">
          <xlrd:rvb i="668"/>
        </ext>
      </extLst>
    </bk>
    <bk>
      <extLst>
        <ext uri="{3e2802c4-a4d2-4d8b-9148-e3be6c30e623}">
          <xlrd:rvb i="671"/>
        </ext>
      </extLst>
    </bk>
    <bk>
      <extLst>
        <ext uri="{3e2802c4-a4d2-4d8b-9148-e3be6c30e623}">
          <xlrd:rvb i="674"/>
        </ext>
      </extLst>
    </bk>
    <bk>
      <extLst>
        <ext uri="{3e2802c4-a4d2-4d8b-9148-e3be6c30e623}">
          <xlrd:rvb i="677"/>
        </ext>
      </extLst>
    </bk>
    <bk>
      <extLst>
        <ext uri="{3e2802c4-a4d2-4d8b-9148-e3be6c30e623}">
          <xlrd:rvb i="683"/>
        </ext>
      </extLst>
    </bk>
    <bk>
      <extLst>
        <ext uri="{3e2802c4-a4d2-4d8b-9148-e3be6c30e623}">
          <xlrd:rvb i="686"/>
        </ext>
      </extLst>
    </bk>
    <bk>
      <extLst>
        <ext uri="{3e2802c4-a4d2-4d8b-9148-e3be6c30e623}">
          <xlrd:rvb i="689"/>
        </ext>
      </extLst>
    </bk>
    <bk>
      <extLst>
        <ext uri="{3e2802c4-a4d2-4d8b-9148-e3be6c30e623}">
          <xlrd:rvb i="692"/>
        </ext>
      </extLst>
    </bk>
    <bk>
      <extLst>
        <ext uri="{3e2802c4-a4d2-4d8b-9148-e3be6c30e623}">
          <xlrd:rvb i="698"/>
        </ext>
      </extLst>
    </bk>
    <bk>
      <extLst>
        <ext uri="{3e2802c4-a4d2-4d8b-9148-e3be6c30e623}">
          <xlrd:rvb i="701"/>
        </ext>
      </extLst>
    </bk>
    <bk>
      <extLst>
        <ext uri="{3e2802c4-a4d2-4d8b-9148-e3be6c30e623}">
          <xlrd:rvb i="704"/>
        </ext>
      </extLst>
    </bk>
    <bk>
      <extLst>
        <ext uri="{3e2802c4-a4d2-4d8b-9148-e3be6c30e623}">
          <xlrd:rvb i="707"/>
        </ext>
      </extLst>
    </bk>
    <bk>
      <extLst>
        <ext uri="{3e2802c4-a4d2-4d8b-9148-e3be6c30e623}">
          <xlrd:rvb i="710"/>
        </ext>
      </extLst>
    </bk>
    <bk>
      <extLst>
        <ext uri="{3e2802c4-a4d2-4d8b-9148-e3be6c30e623}">
          <xlrd:rvb i="713"/>
        </ext>
      </extLst>
    </bk>
    <bk>
      <extLst>
        <ext uri="{3e2802c4-a4d2-4d8b-9148-e3be6c30e623}">
          <xlrd:rvb i="716"/>
        </ext>
      </extLst>
    </bk>
    <bk>
      <extLst>
        <ext uri="{3e2802c4-a4d2-4d8b-9148-e3be6c30e623}">
          <xlrd:rvb i="719"/>
        </ext>
      </extLst>
    </bk>
    <bk>
      <extLst>
        <ext uri="{3e2802c4-a4d2-4d8b-9148-e3be6c30e623}">
          <xlrd:rvb i="722"/>
        </ext>
      </extLst>
    </bk>
    <bk>
      <extLst>
        <ext uri="{3e2802c4-a4d2-4d8b-9148-e3be6c30e623}">
          <xlrd:rvb i="725"/>
        </ext>
      </extLst>
    </bk>
    <bk>
      <extLst>
        <ext uri="{3e2802c4-a4d2-4d8b-9148-e3be6c30e623}">
          <xlrd:rvb i="728"/>
        </ext>
      </extLst>
    </bk>
    <bk>
      <extLst>
        <ext uri="{3e2802c4-a4d2-4d8b-9148-e3be6c30e623}">
          <xlrd:rvb i="734"/>
        </ext>
      </extLst>
    </bk>
    <bk>
      <extLst>
        <ext uri="{3e2802c4-a4d2-4d8b-9148-e3be6c30e623}">
          <xlrd:rvb i="737"/>
        </ext>
      </extLst>
    </bk>
    <bk>
      <extLst>
        <ext uri="{3e2802c4-a4d2-4d8b-9148-e3be6c30e623}">
          <xlrd:rvb i="740"/>
        </ext>
      </extLst>
    </bk>
    <bk>
      <extLst>
        <ext uri="{3e2802c4-a4d2-4d8b-9148-e3be6c30e623}">
          <xlrd:rvb i="743"/>
        </ext>
      </extLst>
    </bk>
    <bk>
      <extLst>
        <ext uri="{3e2802c4-a4d2-4d8b-9148-e3be6c30e623}">
          <xlrd:rvb i="746"/>
        </ext>
      </extLst>
    </bk>
    <bk>
      <extLst>
        <ext uri="{3e2802c4-a4d2-4d8b-9148-e3be6c30e623}">
          <xlrd:rvb i="749"/>
        </ext>
      </extLst>
    </bk>
    <bk>
      <extLst>
        <ext uri="{3e2802c4-a4d2-4d8b-9148-e3be6c30e623}">
          <xlrd:rvb i="752"/>
        </ext>
      </extLst>
    </bk>
    <bk>
      <extLst>
        <ext uri="{3e2802c4-a4d2-4d8b-9148-e3be6c30e623}">
          <xlrd:rvb i="755"/>
        </ext>
      </extLst>
    </bk>
    <bk>
      <extLst>
        <ext uri="{3e2802c4-a4d2-4d8b-9148-e3be6c30e623}">
          <xlrd:rvb i="758"/>
        </ext>
      </extLst>
    </bk>
    <bk>
      <extLst>
        <ext uri="{3e2802c4-a4d2-4d8b-9148-e3be6c30e623}">
          <xlrd:rvb i="761"/>
        </ext>
      </extLst>
    </bk>
    <bk>
      <extLst>
        <ext uri="{3e2802c4-a4d2-4d8b-9148-e3be6c30e623}">
          <xlrd:rvb i="764"/>
        </ext>
      </extLst>
    </bk>
    <bk>
      <extLst>
        <ext uri="{3e2802c4-a4d2-4d8b-9148-e3be6c30e623}">
          <xlrd:rvb i="767"/>
        </ext>
      </extLst>
    </bk>
    <bk>
      <extLst>
        <ext uri="{3e2802c4-a4d2-4d8b-9148-e3be6c30e623}">
          <xlrd:rvb i="770"/>
        </ext>
      </extLst>
    </bk>
    <bk>
      <extLst>
        <ext uri="{3e2802c4-a4d2-4d8b-9148-e3be6c30e623}">
          <xlrd:rvb i="773"/>
        </ext>
      </extLst>
    </bk>
    <bk>
      <extLst>
        <ext uri="{3e2802c4-a4d2-4d8b-9148-e3be6c30e623}">
          <xlrd:rvb i="776"/>
        </ext>
      </extLst>
    </bk>
    <bk>
      <extLst>
        <ext uri="{3e2802c4-a4d2-4d8b-9148-e3be6c30e623}">
          <xlrd:rvb i="779"/>
        </ext>
      </extLst>
    </bk>
    <bk>
      <extLst>
        <ext uri="{3e2802c4-a4d2-4d8b-9148-e3be6c30e623}">
          <xlrd:rvb i="782"/>
        </ext>
      </extLst>
    </bk>
    <bk>
      <extLst>
        <ext uri="{3e2802c4-a4d2-4d8b-9148-e3be6c30e623}">
          <xlrd:rvb i="785"/>
        </ext>
      </extLst>
    </bk>
    <bk>
      <extLst>
        <ext uri="{3e2802c4-a4d2-4d8b-9148-e3be6c30e623}">
          <xlrd:rvb i="788"/>
        </ext>
      </extLst>
    </bk>
    <bk>
      <extLst>
        <ext uri="{3e2802c4-a4d2-4d8b-9148-e3be6c30e623}">
          <xlrd:rvb i="791"/>
        </ext>
      </extLst>
    </bk>
    <bk>
      <extLst>
        <ext uri="{3e2802c4-a4d2-4d8b-9148-e3be6c30e623}">
          <xlrd:rvb i="794"/>
        </ext>
      </extLst>
    </bk>
    <bk>
      <extLst>
        <ext uri="{3e2802c4-a4d2-4d8b-9148-e3be6c30e623}">
          <xlrd:rvb i="797"/>
        </ext>
      </extLst>
    </bk>
    <bk>
      <extLst>
        <ext uri="{3e2802c4-a4d2-4d8b-9148-e3be6c30e623}">
          <xlrd:rvb i="800"/>
        </ext>
      </extLst>
    </bk>
    <bk>
      <extLst>
        <ext uri="{3e2802c4-a4d2-4d8b-9148-e3be6c30e623}">
          <xlrd:rvb i="803"/>
        </ext>
      </extLst>
    </bk>
    <bk>
      <extLst>
        <ext uri="{3e2802c4-a4d2-4d8b-9148-e3be6c30e623}">
          <xlrd:rvb i="806"/>
        </ext>
      </extLst>
    </bk>
    <bk>
      <extLst>
        <ext uri="{3e2802c4-a4d2-4d8b-9148-e3be6c30e623}">
          <xlrd:rvb i="809"/>
        </ext>
      </extLst>
    </bk>
    <bk>
      <extLst>
        <ext uri="{3e2802c4-a4d2-4d8b-9148-e3be6c30e623}">
          <xlrd:rvb i="812"/>
        </ext>
      </extLst>
    </bk>
    <bk>
      <extLst>
        <ext uri="{3e2802c4-a4d2-4d8b-9148-e3be6c30e623}">
          <xlrd:rvb i="815"/>
        </ext>
      </extLst>
    </bk>
    <bk>
      <extLst>
        <ext uri="{3e2802c4-a4d2-4d8b-9148-e3be6c30e623}">
          <xlrd:rvb i="818"/>
        </ext>
      </extLst>
    </bk>
    <bk>
      <extLst>
        <ext uri="{3e2802c4-a4d2-4d8b-9148-e3be6c30e623}">
          <xlrd:rvb i="820"/>
        </ext>
      </extLst>
    </bk>
    <bk>
      <extLst>
        <ext uri="{3e2802c4-a4d2-4d8b-9148-e3be6c30e623}">
          <xlrd:rvb i="823"/>
        </ext>
      </extLst>
    </bk>
    <bk>
      <extLst>
        <ext uri="{3e2802c4-a4d2-4d8b-9148-e3be6c30e623}">
          <xlrd:rvb i="826"/>
        </ext>
      </extLst>
    </bk>
    <bk>
      <extLst>
        <ext uri="{3e2802c4-a4d2-4d8b-9148-e3be6c30e623}">
          <xlrd:rvb i="829"/>
        </ext>
      </extLst>
    </bk>
    <bk>
      <extLst>
        <ext uri="{3e2802c4-a4d2-4d8b-9148-e3be6c30e623}">
          <xlrd:rvb i="832"/>
        </ext>
      </extLst>
    </bk>
    <bk>
      <extLst>
        <ext uri="{3e2802c4-a4d2-4d8b-9148-e3be6c30e623}">
          <xlrd:rvb i="835"/>
        </ext>
      </extLst>
    </bk>
    <bk>
      <extLst>
        <ext uri="{3e2802c4-a4d2-4d8b-9148-e3be6c30e623}">
          <xlrd:rvb i="838"/>
        </ext>
      </extLst>
    </bk>
    <bk>
      <extLst>
        <ext uri="{3e2802c4-a4d2-4d8b-9148-e3be6c30e623}">
          <xlrd:rvb i="841"/>
        </ext>
      </extLst>
    </bk>
    <bk>
      <extLst>
        <ext uri="{3e2802c4-a4d2-4d8b-9148-e3be6c30e623}">
          <xlrd:rvb i="844"/>
        </ext>
      </extLst>
    </bk>
    <bk>
      <extLst>
        <ext uri="{3e2802c4-a4d2-4d8b-9148-e3be6c30e623}">
          <xlrd:rvb i="847"/>
        </ext>
      </extLst>
    </bk>
    <bk>
      <extLst>
        <ext uri="{3e2802c4-a4d2-4d8b-9148-e3be6c30e623}">
          <xlrd:rvb i="850"/>
        </ext>
      </extLst>
    </bk>
    <bk>
      <extLst>
        <ext uri="{3e2802c4-a4d2-4d8b-9148-e3be6c30e623}">
          <xlrd:rvb i="853"/>
        </ext>
      </extLst>
    </bk>
    <bk>
      <extLst>
        <ext uri="{3e2802c4-a4d2-4d8b-9148-e3be6c30e623}">
          <xlrd:rvb i="856"/>
        </ext>
      </extLst>
    </bk>
    <bk>
      <extLst>
        <ext uri="{3e2802c4-a4d2-4d8b-9148-e3be6c30e623}">
          <xlrd:rvb i="859"/>
        </ext>
      </extLst>
    </bk>
    <bk>
      <extLst>
        <ext uri="{3e2802c4-a4d2-4d8b-9148-e3be6c30e623}">
          <xlrd:rvb i="862"/>
        </ext>
      </extLst>
    </bk>
    <bk>
      <extLst>
        <ext uri="{3e2802c4-a4d2-4d8b-9148-e3be6c30e623}">
          <xlrd:rvb i="865"/>
        </ext>
      </extLst>
    </bk>
    <bk>
      <extLst>
        <ext uri="{3e2802c4-a4d2-4d8b-9148-e3be6c30e623}">
          <xlrd:rvb i="868"/>
        </ext>
      </extLst>
    </bk>
    <bk>
      <extLst>
        <ext uri="{3e2802c4-a4d2-4d8b-9148-e3be6c30e623}">
          <xlrd:rvb i="871"/>
        </ext>
      </extLst>
    </bk>
    <bk>
      <extLst>
        <ext uri="{3e2802c4-a4d2-4d8b-9148-e3be6c30e623}">
          <xlrd:rvb i="874"/>
        </ext>
      </extLst>
    </bk>
    <bk>
      <extLst>
        <ext uri="{3e2802c4-a4d2-4d8b-9148-e3be6c30e623}">
          <xlrd:rvb i="876"/>
        </ext>
      </extLst>
    </bk>
    <bk>
      <extLst>
        <ext uri="{3e2802c4-a4d2-4d8b-9148-e3be6c30e623}">
          <xlrd:rvb i="879"/>
        </ext>
      </extLst>
    </bk>
    <bk>
      <extLst>
        <ext uri="{3e2802c4-a4d2-4d8b-9148-e3be6c30e623}">
          <xlrd:rvb i="882"/>
        </ext>
      </extLst>
    </bk>
    <bk>
      <extLst>
        <ext uri="{3e2802c4-a4d2-4d8b-9148-e3be6c30e623}">
          <xlrd:rvb i="885"/>
        </ext>
      </extLst>
    </bk>
    <bk>
      <extLst>
        <ext uri="{3e2802c4-a4d2-4d8b-9148-e3be6c30e623}">
          <xlrd:rvb i="888"/>
        </ext>
      </extLst>
    </bk>
    <bk>
      <extLst>
        <ext uri="{3e2802c4-a4d2-4d8b-9148-e3be6c30e623}">
          <xlrd:rvb i="891"/>
        </ext>
      </extLst>
    </bk>
    <bk>
      <extLst>
        <ext uri="{3e2802c4-a4d2-4d8b-9148-e3be6c30e623}">
          <xlrd:rvb i="894"/>
        </ext>
      </extLst>
    </bk>
    <bk>
      <extLst>
        <ext uri="{3e2802c4-a4d2-4d8b-9148-e3be6c30e623}">
          <xlrd:rvb i="897"/>
        </ext>
      </extLst>
    </bk>
    <bk>
      <extLst>
        <ext uri="{3e2802c4-a4d2-4d8b-9148-e3be6c30e623}">
          <xlrd:rvb i="900"/>
        </ext>
      </extLst>
    </bk>
    <bk>
      <extLst>
        <ext uri="{3e2802c4-a4d2-4d8b-9148-e3be6c30e623}">
          <xlrd:rvb i="903"/>
        </ext>
      </extLst>
    </bk>
    <bk>
      <extLst>
        <ext uri="{3e2802c4-a4d2-4d8b-9148-e3be6c30e623}">
          <xlrd:rvb i="906"/>
        </ext>
      </extLst>
    </bk>
    <bk>
      <extLst>
        <ext uri="{3e2802c4-a4d2-4d8b-9148-e3be6c30e623}">
          <xlrd:rvb i="909"/>
        </ext>
      </extLst>
    </bk>
    <bk>
      <extLst>
        <ext uri="{3e2802c4-a4d2-4d8b-9148-e3be6c30e623}">
          <xlrd:rvb i="912"/>
        </ext>
      </extLst>
    </bk>
    <bk>
      <extLst>
        <ext uri="{3e2802c4-a4d2-4d8b-9148-e3be6c30e623}">
          <xlrd:rvb i="915"/>
        </ext>
      </extLst>
    </bk>
    <bk>
      <extLst>
        <ext uri="{3e2802c4-a4d2-4d8b-9148-e3be6c30e623}">
          <xlrd:rvb i="918"/>
        </ext>
      </extLst>
    </bk>
    <bk>
      <extLst>
        <ext uri="{3e2802c4-a4d2-4d8b-9148-e3be6c30e623}">
          <xlrd:rvb i="921"/>
        </ext>
      </extLst>
    </bk>
    <bk>
      <extLst>
        <ext uri="{3e2802c4-a4d2-4d8b-9148-e3be6c30e623}">
          <xlrd:rvb i="924"/>
        </ext>
      </extLst>
    </bk>
    <bk>
      <extLst>
        <ext uri="{3e2802c4-a4d2-4d8b-9148-e3be6c30e623}">
          <xlrd:rvb i="927"/>
        </ext>
      </extLst>
    </bk>
    <bk>
      <extLst>
        <ext uri="{3e2802c4-a4d2-4d8b-9148-e3be6c30e623}">
          <xlrd:rvb i="930"/>
        </ext>
      </extLst>
    </bk>
    <bk>
      <extLst>
        <ext uri="{3e2802c4-a4d2-4d8b-9148-e3be6c30e623}">
          <xlrd:rvb i="936"/>
        </ext>
      </extLst>
    </bk>
    <bk>
      <extLst>
        <ext uri="{3e2802c4-a4d2-4d8b-9148-e3be6c30e623}">
          <xlrd:rvb i="939"/>
        </ext>
      </extLst>
    </bk>
    <bk>
      <extLst>
        <ext uri="{3e2802c4-a4d2-4d8b-9148-e3be6c30e623}">
          <xlrd:rvb i="942"/>
        </ext>
      </extLst>
    </bk>
    <bk>
      <extLst>
        <ext uri="{3e2802c4-a4d2-4d8b-9148-e3be6c30e623}">
          <xlrd:rvb i="945"/>
        </ext>
      </extLst>
    </bk>
    <bk>
      <extLst>
        <ext uri="{3e2802c4-a4d2-4d8b-9148-e3be6c30e623}">
          <xlrd:rvb i="948"/>
        </ext>
      </extLst>
    </bk>
    <bk>
      <extLst>
        <ext uri="{3e2802c4-a4d2-4d8b-9148-e3be6c30e623}">
          <xlrd:rvb i="951"/>
        </ext>
      </extLst>
    </bk>
    <bk>
      <extLst>
        <ext uri="{3e2802c4-a4d2-4d8b-9148-e3be6c30e623}">
          <xlrd:rvb i="954"/>
        </ext>
      </extLst>
    </bk>
    <bk>
      <extLst>
        <ext uri="{3e2802c4-a4d2-4d8b-9148-e3be6c30e623}">
          <xlrd:rvb i="957"/>
        </ext>
      </extLst>
    </bk>
    <bk>
      <extLst>
        <ext uri="{3e2802c4-a4d2-4d8b-9148-e3be6c30e623}">
          <xlrd:rvb i="960"/>
        </ext>
      </extLst>
    </bk>
    <bk>
      <extLst>
        <ext uri="{3e2802c4-a4d2-4d8b-9148-e3be6c30e623}">
          <xlrd:rvb i="963"/>
        </ext>
      </extLst>
    </bk>
    <bk>
      <extLst>
        <ext uri="{3e2802c4-a4d2-4d8b-9148-e3be6c30e623}">
          <xlrd:rvb i="966"/>
        </ext>
      </extLst>
    </bk>
    <bk>
      <extLst>
        <ext uri="{3e2802c4-a4d2-4d8b-9148-e3be6c30e623}">
          <xlrd:rvb i="969"/>
        </ext>
      </extLst>
    </bk>
    <bk>
      <extLst>
        <ext uri="{3e2802c4-a4d2-4d8b-9148-e3be6c30e623}">
          <xlrd:rvb i="972"/>
        </ext>
      </extLst>
    </bk>
    <bk>
      <extLst>
        <ext uri="{3e2802c4-a4d2-4d8b-9148-e3be6c30e623}">
          <xlrd:rvb i="975"/>
        </ext>
      </extLst>
    </bk>
    <bk>
      <extLst>
        <ext uri="{3e2802c4-a4d2-4d8b-9148-e3be6c30e623}">
          <xlrd:rvb i="978"/>
        </ext>
      </extLst>
    </bk>
    <bk>
      <extLst>
        <ext uri="{3e2802c4-a4d2-4d8b-9148-e3be6c30e623}">
          <xlrd:rvb i="981"/>
        </ext>
      </extLst>
    </bk>
    <bk>
      <extLst>
        <ext uri="{3e2802c4-a4d2-4d8b-9148-e3be6c30e623}">
          <xlrd:rvb i="984"/>
        </ext>
      </extLst>
    </bk>
    <bk>
      <extLst>
        <ext uri="{3e2802c4-a4d2-4d8b-9148-e3be6c30e623}">
          <xlrd:rvb i="987"/>
        </ext>
      </extLst>
    </bk>
    <bk>
      <extLst>
        <ext uri="{3e2802c4-a4d2-4d8b-9148-e3be6c30e623}">
          <xlrd:rvb i="990"/>
        </ext>
      </extLst>
    </bk>
    <bk>
      <extLst>
        <ext uri="{3e2802c4-a4d2-4d8b-9148-e3be6c30e623}">
          <xlrd:rvb i="993"/>
        </ext>
      </extLst>
    </bk>
    <bk>
      <extLst>
        <ext uri="{3e2802c4-a4d2-4d8b-9148-e3be6c30e623}">
          <xlrd:rvb i="996"/>
        </ext>
      </extLst>
    </bk>
    <bk>
      <extLst>
        <ext uri="{3e2802c4-a4d2-4d8b-9148-e3be6c30e623}">
          <xlrd:rvb i="999"/>
        </ext>
      </extLst>
    </bk>
    <bk>
      <extLst>
        <ext uri="{3e2802c4-a4d2-4d8b-9148-e3be6c30e623}">
          <xlrd:rvb i="1005"/>
        </ext>
      </extLst>
    </bk>
    <bk>
      <extLst>
        <ext uri="{3e2802c4-a4d2-4d8b-9148-e3be6c30e623}">
          <xlrd:rvb i="1008"/>
        </ext>
      </extLst>
    </bk>
    <bk>
      <extLst>
        <ext uri="{3e2802c4-a4d2-4d8b-9148-e3be6c30e623}">
          <xlrd:rvb i="1011"/>
        </ext>
      </extLst>
    </bk>
    <bk>
      <extLst>
        <ext uri="{3e2802c4-a4d2-4d8b-9148-e3be6c30e623}">
          <xlrd:rvb i="1014"/>
        </ext>
      </extLst>
    </bk>
    <bk>
      <extLst>
        <ext uri="{3e2802c4-a4d2-4d8b-9148-e3be6c30e623}">
          <xlrd:rvb i="1017"/>
        </ext>
      </extLst>
    </bk>
    <bk>
      <extLst>
        <ext uri="{3e2802c4-a4d2-4d8b-9148-e3be6c30e623}">
          <xlrd:rvb i="1020"/>
        </ext>
      </extLst>
    </bk>
    <bk>
      <extLst>
        <ext uri="{3e2802c4-a4d2-4d8b-9148-e3be6c30e623}">
          <xlrd:rvb i="1023"/>
        </ext>
      </extLst>
    </bk>
    <bk>
      <extLst>
        <ext uri="{3e2802c4-a4d2-4d8b-9148-e3be6c30e623}">
          <xlrd:rvb i="1026"/>
        </ext>
      </extLst>
    </bk>
    <bk>
      <extLst>
        <ext uri="{3e2802c4-a4d2-4d8b-9148-e3be6c30e623}">
          <xlrd:rvb i="1029"/>
        </ext>
      </extLst>
    </bk>
    <bk>
      <extLst>
        <ext uri="{3e2802c4-a4d2-4d8b-9148-e3be6c30e623}">
          <xlrd:rvb i="1032"/>
        </ext>
      </extLst>
    </bk>
    <bk>
      <extLst>
        <ext uri="{3e2802c4-a4d2-4d8b-9148-e3be6c30e623}">
          <xlrd:rvb i="1035"/>
        </ext>
      </extLst>
    </bk>
    <bk>
      <extLst>
        <ext uri="{3e2802c4-a4d2-4d8b-9148-e3be6c30e623}">
          <xlrd:rvb i="1038"/>
        </ext>
      </extLst>
    </bk>
    <bk>
      <extLst>
        <ext uri="{3e2802c4-a4d2-4d8b-9148-e3be6c30e623}">
          <xlrd:rvb i="1041"/>
        </ext>
      </extLst>
    </bk>
    <bk>
      <extLst>
        <ext uri="{3e2802c4-a4d2-4d8b-9148-e3be6c30e623}">
          <xlrd:rvb i="1044"/>
        </ext>
      </extLst>
    </bk>
    <bk>
      <extLst>
        <ext uri="{3e2802c4-a4d2-4d8b-9148-e3be6c30e623}">
          <xlrd:rvb i="1047"/>
        </ext>
      </extLst>
    </bk>
    <bk>
      <extLst>
        <ext uri="{3e2802c4-a4d2-4d8b-9148-e3be6c30e623}">
          <xlrd:rvb i="1050"/>
        </ext>
      </extLst>
    </bk>
    <bk>
      <extLst>
        <ext uri="{3e2802c4-a4d2-4d8b-9148-e3be6c30e623}">
          <xlrd:rvb i="1053"/>
        </ext>
      </extLst>
    </bk>
    <bk>
      <extLst>
        <ext uri="{3e2802c4-a4d2-4d8b-9148-e3be6c30e623}">
          <xlrd:rvb i="1056"/>
        </ext>
      </extLst>
    </bk>
    <bk>
      <extLst>
        <ext uri="{3e2802c4-a4d2-4d8b-9148-e3be6c30e623}">
          <xlrd:rvb i="1059"/>
        </ext>
      </extLst>
    </bk>
    <bk>
      <extLst>
        <ext uri="{3e2802c4-a4d2-4d8b-9148-e3be6c30e623}">
          <xlrd:rvb i="1062"/>
        </ext>
      </extLst>
    </bk>
    <bk>
      <extLst>
        <ext uri="{3e2802c4-a4d2-4d8b-9148-e3be6c30e623}">
          <xlrd:rvb i="1065"/>
        </ext>
      </extLst>
    </bk>
    <bk>
      <extLst>
        <ext uri="{3e2802c4-a4d2-4d8b-9148-e3be6c30e623}">
          <xlrd:rvb i="1068"/>
        </ext>
      </extLst>
    </bk>
    <bk>
      <extLst>
        <ext uri="{3e2802c4-a4d2-4d8b-9148-e3be6c30e623}">
          <xlrd:rvb i="1071"/>
        </ext>
      </extLst>
    </bk>
    <bk>
      <extLst>
        <ext uri="{3e2802c4-a4d2-4d8b-9148-e3be6c30e623}">
          <xlrd:rvb i="1074"/>
        </ext>
      </extLst>
    </bk>
    <bk>
      <extLst>
        <ext uri="{3e2802c4-a4d2-4d8b-9148-e3be6c30e623}">
          <xlrd:rvb i="1077"/>
        </ext>
      </extLst>
    </bk>
    <bk>
      <extLst>
        <ext uri="{3e2802c4-a4d2-4d8b-9148-e3be6c30e623}">
          <xlrd:rvb i="1080"/>
        </ext>
      </extLst>
    </bk>
    <bk>
      <extLst>
        <ext uri="{3e2802c4-a4d2-4d8b-9148-e3be6c30e623}">
          <xlrd:rvb i="1083"/>
        </ext>
      </extLst>
    </bk>
    <bk>
      <extLst>
        <ext uri="{3e2802c4-a4d2-4d8b-9148-e3be6c30e623}">
          <xlrd:rvb i="1086"/>
        </ext>
      </extLst>
    </bk>
    <bk>
      <extLst>
        <ext uri="{3e2802c4-a4d2-4d8b-9148-e3be6c30e623}">
          <xlrd:rvb i="1089"/>
        </ext>
      </extLst>
    </bk>
    <bk>
      <extLst>
        <ext uri="{3e2802c4-a4d2-4d8b-9148-e3be6c30e623}">
          <xlrd:rvb i="1092"/>
        </ext>
      </extLst>
    </bk>
    <bk>
      <extLst>
        <ext uri="{3e2802c4-a4d2-4d8b-9148-e3be6c30e623}">
          <xlrd:rvb i="1095"/>
        </ext>
      </extLst>
    </bk>
    <bk>
      <extLst>
        <ext uri="{3e2802c4-a4d2-4d8b-9148-e3be6c30e623}">
          <xlrd:rvb i="1098"/>
        </ext>
      </extLst>
    </bk>
    <bk>
      <extLst>
        <ext uri="{3e2802c4-a4d2-4d8b-9148-e3be6c30e623}">
          <xlrd:rvb i="1101"/>
        </ext>
      </extLst>
    </bk>
    <bk>
      <extLst>
        <ext uri="{3e2802c4-a4d2-4d8b-9148-e3be6c30e623}">
          <xlrd:rvb i="1104"/>
        </ext>
      </extLst>
    </bk>
    <bk>
      <extLst>
        <ext uri="{3e2802c4-a4d2-4d8b-9148-e3be6c30e623}">
          <xlrd:rvb i="1107"/>
        </ext>
      </extLst>
    </bk>
    <bk>
      <extLst>
        <ext uri="{3e2802c4-a4d2-4d8b-9148-e3be6c30e623}">
          <xlrd:rvb i="1110"/>
        </ext>
      </extLst>
    </bk>
    <bk>
      <extLst>
        <ext uri="{3e2802c4-a4d2-4d8b-9148-e3be6c30e623}">
          <xlrd:rvb i="1113"/>
        </ext>
      </extLst>
    </bk>
    <bk>
      <extLst>
        <ext uri="{3e2802c4-a4d2-4d8b-9148-e3be6c30e623}">
          <xlrd:rvb i="1116"/>
        </ext>
      </extLst>
    </bk>
    <bk>
      <extLst>
        <ext uri="{3e2802c4-a4d2-4d8b-9148-e3be6c30e623}">
          <xlrd:rvb i="1119"/>
        </ext>
      </extLst>
    </bk>
    <bk>
      <extLst>
        <ext uri="{3e2802c4-a4d2-4d8b-9148-e3be6c30e623}">
          <xlrd:rvb i="1122"/>
        </ext>
      </extLst>
    </bk>
    <bk>
      <extLst>
        <ext uri="{3e2802c4-a4d2-4d8b-9148-e3be6c30e623}">
          <xlrd:rvb i="1125"/>
        </ext>
      </extLst>
    </bk>
    <bk>
      <extLst>
        <ext uri="{3e2802c4-a4d2-4d8b-9148-e3be6c30e623}">
          <xlrd:rvb i="1128"/>
        </ext>
      </extLst>
    </bk>
    <bk>
      <extLst>
        <ext uri="{3e2802c4-a4d2-4d8b-9148-e3be6c30e623}">
          <xlrd:rvb i="1131"/>
        </ext>
      </extLst>
    </bk>
    <bk>
      <extLst>
        <ext uri="{3e2802c4-a4d2-4d8b-9148-e3be6c30e623}">
          <xlrd:rvb i="1134"/>
        </ext>
      </extLst>
    </bk>
    <bk>
      <extLst>
        <ext uri="{3e2802c4-a4d2-4d8b-9148-e3be6c30e623}">
          <xlrd:rvb i="1137"/>
        </ext>
      </extLst>
    </bk>
    <bk>
      <extLst>
        <ext uri="{3e2802c4-a4d2-4d8b-9148-e3be6c30e623}">
          <xlrd:rvb i="1140"/>
        </ext>
      </extLst>
    </bk>
    <bk>
      <extLst>
        <ext uri="{3e2802c4-a4d2-4d8b-9148-e3be6c30e623}">
          <xlrd:rvb i="1143"/>
        </ext>
      </extLst>
    </bk>
    <bk>
      <extLst>
        <ext uri="{3e2802c4-a4d2-4d8b-9148-e3be6c30e623}">
          <xlrd:rvb i="1146"/>
        </ext>
      </extLst>
    </bk>
    <bk>
      <extLst>
        <ext uri="{3e2802c4-a4d2-4d8b-9148-e3be6c30e623}">
          <xlrd:rvb i="1149"/>
        </ext>
      </extLst>
    </bk>
    <bk>
      <extLst>
        <ext uri="{3e2802c4-a4d2-4d8b-9148-e3be6c30e623}">
          <xlrd:rvb i="1152"/>
        </ext>
      </extLst>
    </bk>
    <bk>
      <extLst>
        <ext uri="{3e2802c4-a4d2-4d8b-9148-e3be6c30e623}">
          <xlrd:rvb i="1155"/>
        </ext>
      </extLst>
    </bk>
    <bk>
      <extLst>
        <ext uri="{3e2802c4-a4d2-4d8b-9148-e3be6c30e623}">
          <xlrd:rvb i="1158"/>
        </ext>
      </extLst>
    </bk>
    <bk>
      <extLst>
        <ext uri="{3e2802c4-a4d2-4d8b-9148-e3be6c30e623}">
          <xlrd:rvb i="1161"/>
        </ext>
      </extLst>
    </bk>
    <bk>
      <extLst>
        <ext uri="{3e2802c4-a4d2-4d8b-9148-e3be6c30e623}">
          <xlrd:rvb i="1167"/>
        </ext>
      </extLst>
    </bk>
    <bk>
      <extLst>
        <ext uri="{3e2802c4-a4d2-4d8b-9148-e3be6c30e623}">
          <xlrd:rvb i="1170"/>
        </ext>
      </extLst>
    </bk>
    <bk>
      <extLst>
        <ext uri="{3e2802c4-a4d2-4d8b-9148-e3be6c30e623}">
          <xlrd:rvb i="1173"/>
        </ext>
      </extLst>
    </bk>
    <bk>
      <extLst>
        <ext uri="{3e2802c4-a4d2-4d8b-9148-e3be6c30e623}">
          <xlrd:rvb i="1176"/>
        </ext>
      </extLst>
    </bk>
    <bk>
      <extLst>
        <ext uri="{3e2802c4-a4d2-4d8b-9148-e3be6c30e623}">
          <xlrd:rvb i="1179"/>
        </ext>
      </extLst>
    </bk>
    <bk>
      <extLst>
        <ext uri="{3e2802c4-a4d2-4d8b-9148-e3be6c30e623}">
          <xlrd:rvb i="1182"/>
        </ext>
      </extLst>
    </bk>
    <bk>
      <extLst>
        <ext uri="{3e2802c4-a4d2-4d8b-9148-e3be6c30e623}">
          <xlrd:rvb i="1185"/>
        </ext>
      </extLst>
    </bk>
    <bk>
      <extLst>
        <ext uri="{3e2802c4-a4d2-4d8b-9148-e3be6c30e623}">
          <xlrd:rvb i="1188"/>
        </ext>
      </extLst>
    </bk>
    <bk>
      <extLst>
        <ext uri="{3e2802c4-a4d2-4d8b-9148-e3be6c30e623}">
          <xlrd:rvb i="1191"/>
        </ext>
      </extLst>
    </bk>
    <bk>
      <extLst>
        <ext uri="{3e2802c4-a4d2-4d8b-9148-e3be6c30e623}">
          <xlrd:rvb i="1194"/>
        </ext>
      </extLst>
    </bk>
    <bk>
      <extLst>
        <ext uri="{3e2802c4-a4d2-4d8b-9148-e3be6c30e623}">
          <xlrd:rvb i="1197"/>
        </ext>
      </extLst>
    </bk>
    <bk>
      <extLst>
        <ext uri="{3e2802c4-a4d2-4d8b-9148-e3be6c30e623}">
          <xlrd:rvb i="1203"/>
        </ext>
      </extLst>
    </bk>
    <bk>
      <extLst>
        <ext uri="{3e2802c4-a4d2-4d8b-9148-e3be6c30e623}">
          <xlrd:rvb i="1206"/>
        </ext>
      </extLst>
    </bk>
    <bk>
      <extLst>
        <ext uri="{3e2802c4-a4d2-4d8b-9148-e3be6c30e623}">
          <xlrd:rvb i="1209"/>
        </ext>
      </extLst>
    </bk>
    <bk>
      <extLst>
        <ext uri="{3e2802c4-a4d2-4d8b-9148-e3be6c30e623}">
          <xlrd:rvb i="1212"/>
        </ext>
      </extLst>
    </bk>
    <bk>
      <extLst>
        <ext uri="{3e2802c4-a4d2-4d8b-9148-e3be6c30e623}">
          <xlrd:rvb i="1215"/>
        </ext>
      </extLst>
    </bk>
    <bk>
      <extLst>
        <ext uri="{3e2802c4-a4d2-4d8b-9148-e3be6c30e623}">
          <xlrd:rvb i="1218"/>
        </ext>
      </extLst>
    </bk>
    <bk>
      <extLst>
        <ext uri="{3e2802c4-a4d2-4d8b-9148-e3be6c30e623}">
          <xlrd:rvb i="1221"/>
        </ext>
      </extLst>
    </bk>
    <bk>
      <extLst>
        <ext uri="{3e2802c4-a4d2-4d8b-9148-e3be6c30e623}">
          <xlrd:rvb i="1224"/>
        </ext>
      </extLst>
    </bk>
    <bk>
      <extLst>
        <ext uri="{3e2802c4-a4d2-4d8b-9148-e3be6c30e623}">
          <xlrd:rvb i="1227"/>
        </ext>
      </extLst>
    </bk>
    <bk>
      <extLst>
        <ext uri="{3e2802c4-a4d2-4d8b-9148-e3be6c30e623}">
          <xlrd:rvb i="1230"/>
        </ext>
      </extLst>
    </bk>
    <bk>
      <extLst>
        <ext uri="{3e2802c4-a4d2-4d8b-9148-e3be6c30e623}">
          <xlrd:rvb i="1233"/>
        </ext>
      </extLst>
    </bk>
    <bk>
      <extLst>
        <ext uri="{3e2802c4-a4d2-4d8b-9148-e3be6c30e623}">
          <xlrd:rvb i="1236"/>
        </ext>
      </extLst>
    </bk>
    <bk>
      <extLst>
        <ext uri="{3e2802c4-a4d2-4d8b-9148-e3be6c30e623}">
          <xlrd:rvb i="1239"/>
        </ext>
      </extLst>
    </bk>
    <bk>
      <extLst>
        <ext uri="{3e2802c4-a4d2-4d8b-9148-e3be6c30e623}">
          <xlrd:rvb i="1242"/>
        </ext>
      </extLst>
    </bk>
    <bk>
      <extLst>
        <ext uri="{3e2802c4-a4d2-4d8b-9148-e3be6c30e623}">
          <xlrd:rvb i="1245"/>
        </ext>
      </extLst>
    </bk>
    <bk>
      <extLst>
        <ext uri="{3e2802c4-a4d2-4d8b-9148-e3be6c30e623}">
          <xlrd:rvb i="1248"/>
        </ext>
      </extLst>
    </bk>
    <bk>
      <extLst>
        <ext uri="{3e2802c4-a4d2-4d8b-9148-e3be6c30e623}">
          <xlrd:rvb i="1251"/>
        </ext>
      </extLst>
    </bk>
    <bk>
      <extLst>
        <ext uri="{3e2802c4-a4d2-4d8b-9148-e3be6c30e623}">
          <xlrd:rvb i="1254"/>
        </ext>
      </extLst>
    </bk>
    <bk>
      <extLst>
        <ext uri="{3e2802c4-a4d2-4d8b-9148-e3be6c30e623}">
          <xlrd:rvb i="1260"/>
        </ext>
      </extLst>
    </bk>
    <bk>
      <extLst>
        <ext uri="{3e2802c4-a4d2-4d8b-9148-e3be6c30e623}">
          <xlrd:rvb i="1263"/>
        </ext>
      </extLst>
    </bk>
    <bk>
      <extLst>
        <ext uri="{3e2802c4-a4d2-4d8b-9148-e3be6c30e623}">
          <xlrd:rvb i="1269"/>
        </ext>
      </extLst>
    </bk>
    <bk>
      <extLst>
        <ext uri="{3e2802c4-a4d2-4d8b-9148-e3be6c30e623}">
          <xlrd:rvb i="1272"/>
        </ext>
      </extLst>
    </bk>
    <bk>
      <extLst>
        <ext uri="{3e2802c4-a4d2-4d8b-9148-e3be6c30e623}">
          <xlrd:rvb i="1275"/>
        </ext>
      </extLst>
    </bk>
    <bk>
      <extLst>
        <ext uri="{3e2802c4-a4d2-4d8b-9148-e3be6c30e623}">
          <xlrd:rvb i="1278"/>
        </ext>
      </extLst>
    </bk>
    <bk>
      <extLst>
        <ext uri="{3e2802c4-a4d2-4d8b-9148-e3be6c30e623}">
          <xlrd:rvb i="1281"/>
        </ext>
      </extLst>
    </bk>
    <bk>
      <extLst>
        <ext uri="{3e2802c4-a4d2-4d8b-9148-e3be6c30e623}">
          <xlrd:rvb i="1284"/>
        </ext>
      </extLst>
    </bk>
    <bk>
      <extLst>
        <ext uri="{3e2802c4-a4d2-4d8b-9148-e3be6c30e623}">
          <xlrd:rvb i="1287"/>
        </ext>
      </extLst>
    </bk>
    <bk>
      <extLst>
        <ext uri="{3e2802c4-a4d2-4d8b-9148-e3be6c30e623}">
          <xlrd:rvb i="1290"/>
        </ext>
      </extLst>
    </bk>
    <bk>
      <extLst>
        <ext uri="{3e2802c4-a4d2-4d8b-9148-e3be6c30e623}">
          <xlrd:rvb i="1293"/>
        </ext>
      </extLst>
    </bk>
    <bk>
      <extLst>
        <ext uri="{3e2802c4-a4d2-4d8b-9148-e3be6c30e623}">
          <xlrd:rvb i="1296"/>
        </ext>
      </extLst>
    </bk>
    <bk>
      <extLst>
        <ext uri="{3e2802c4-a4d2-4d8b-9148-e3be6c30e623}">
          <xlrd:rvb i="1299"/>
        </ext>
      </extLst>
    </bk>
    <bk>
      <extLst>
        <ext uri="{3e2802c4-a4d2-4d8b-9148-e3be6c30e623}">
          <xlrd:rvb i="1302"/>
        </ext>
      </extLst>
    </bk>
    <bk>
      <extLst>
        <ext uri="{3e2802c4-a4d2-4d8b-9148-e3be6c30e623}">
          <xlrd:rvb i="1305"/>
        </ext>
      </extLst>
    </bk>
    <bk>
      <extLst>
        <ext uri="{3e2802c4-a4d2-4d8b-9148-e3be6c30e623}">
          <xlrd:rvb i="1308"/>
        </ext>
      </extLst>
    </bk>
    <bk>
      <extLst>
        <ext uri="{3e2802c4-a4d2-4d8b-9148-e3be6c30e623}">
          <xlrd:rvb i="1311"/>
        </ext>
      </extLst>
    </bk>
    <bk>
      <extLst>
        <ext uri="{3e2802c4-a4d2-4d8b-9148-e3be6c30e623}">
          <xlrd:rvb i="1314"/>
        </ext>
      </extLst>
    </bk>
    <bk>
      <extLst>
        <ext uri="{3e2802c4-a4d2-4d8b-9148-e3be6c30e623}">
          <xlrd:rvb i="1317"/>
        </ext>
      </extLst>
    </bk>
    <bk>
      <extLst>
        <ext uri="{3e2802c4-a4d2-4d8b-9148-e3be6c30e623}">
          <xlrd:rvb i="1320"/>
        </ext>
      </extLst>
    </bk>
    <bk>
      <extLst>
        <ext uri="{3e2802c4-a4d2-4d8b-9148-e3be6c30e623}">
          <xlrd:rvb i="1323"/>
        </ext>
      </extLst>
    </bk>
    <bk>
      <extLst>
        <ext uri="{3e2802c4-a4d2-4d8b-9148-e3be6c30e623}">
          <xlrd:rvb i="1326"/>
        </ext>
      </extLst>
    </bk>
    <bk>
      <extLst>
        <ext uri="{3e2802c4-a4d2-4d8b-9148-e3be6c30e623}">
          <xlrd:rvb i="1329"/>
        </ext>
      </extLst>
    </bk>
    <bk>
      <extLst>
        <ext uri="{3e2802c4-a4d2-4d8b-9148-e3be6c30e623}">
          <xlrd:rvb i="1332"/>
        </ext>
      </extLst>
    </bk>
    <bk>
      <extLst>
        <ext uri="{3e2802c4-a4d2-4d8b-9148-e3be6c30e623}">
          <xlrd:rvb i="1338"/>
        </ext>
      </extLst>
    </bk>
    <bk>
      <extLst>
        <ext uri="{3e2802c4-a4d2-4d8b-9148-e3be6c30e623}">
          <xlrd:rvb i="1341"/>
        </ext>
      </extLst>
    </bk>
    <bk>
      <extLst>
        <ext uri="{3e2802c4-a4d2-4d8b-9148-e3be6c30e623}">
          <xlrd:rvb i="1344"/>
        </ext>
      </extLst>
    </bk>
    <bk>
      <extLst>
        <ext uri="{3e2802c4-a4d2-4d8b-9148-e3be6c30e623}">
          <xlrd:rvb i="1347"/>
        </ext>
      </extLst>
    </bk>
    <bk>
      <extLst>
        <ext uri="{3e2802c4-a4d2-4d8b-9148-e3be6c30e623}">
          <xlrd:rvb i="1350"/>
        </ext>
      </extLst>
    </bk>
    <bk>
      <extLst>
        <ext uri="{3e2802c4-a4d2-4d8b-9148-e3be6c30e623}">
          <xlrd:rvb i="1353"/>
        </ext>
      </extLst>
    </bk>
    <bk>
      <extLst>
        <ext uri="{3e2802c4-a4d2-4d8b-9148-e3be6c30e623}">
          <xlrd:rvb i="1356"/>
        </ext>
      </extLst>
    </bk>
    <bk>
      <extLst>
        <ext uri="{3e2802c4-a4d2-4d8b-9148-e3be6c30e623}">
          <xlrd:rvb i="1359"/>
        </ext>
      </extLst>
    </bk>
    <bk>
      <extLst>
        <ext uri="{3e2802c4-a4d2-4d8b-9148-e3be6c30e623}">
          <xlrd:rvb i="1362"/>
        </ext>
      </extLst>
    </bk>
    <bk>
      <extLst>
        <ext uri="{3e2802c4-a4d2-4d8b-9148-e3be6c30e623}">
          <xlrd:rvb i="1365"/>
        </ext>
      </extLst>
    </bk>
    <bk>
      <extLst>
        <ext uri="{3e2802c4-a4d2-4d8b-9148-e3be6c30e623}">
          <xlrd:rvb i="1368"/>
        </ext>
      </extLst>
    </bk>
    <bk>
      <extLst>
        <ext uri="{3e2802c4-a4d2-4d8b-9148-e3be6c30e623}">
          <xlrd:rvb i="1371"/>
        </ext>
      </extLst>
    </bk>
    <bk>
      <extLst>
        <ext uri="{3e2802c4-a4d2-4d8b-9148-e3be6c30e623}">
          <xlrd:rvb i="1374"/>
        </ext>
      </extLst>
    </bk>
    <bk>
      <extLst>
        <ext uri="{3e2802c4-a4d2-4d8b-9148-e3be6c30e623}">
          <xlrd:rvb i="1377"/>
        </ext>
      </extLst>
    </bk>
    <bk>
      <extLst>
        <ext uri="{3e2802c4-a4d2-4d8b-9148-e3be6c30e623}">
          <xlrd:rvb i="1380"/>
        </ext>
      </extLst>
    </bk>
  </futureMetadata>
  <cellMetadata count="1">
    <bk>
      <rc t="1" v="0"/>
    </bk>
  </cellMetadata>
  <valueMetadata count="44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valueMetadata>
</metadata>
</file>

<file path=xl/sharedStrings.xml><?xml version="1.0" encoding="utf-8"?>
<sst xmlns="http://schemas.openxmlformats.org/spreadsheetml/2006/main" count="1373" uniqueCount="955">
  <si>
    <t>Name</t>
  </si>
  <si>
    <t xml:space="preserve">Symbol </t>
  </si>
  <si>
    <t>Change%</t>
  </si>
  <si>
    <t>Beta</t>
  </si>
  <si>
    <t>Industry</t>
  </si>
  <si>
    <t>P/E</t>
  </si>
  <si>
    <t>Volume average</t>
  </si>
  <si>
    <t>Volume</t>
  </si>
  <si>
    <t>Market cap</t>
  </si>
  <si>
    <t>Index</t>
  </si>
  <si>
    <t>Company</t>
  </si>
  <si>
    <t>Symbol</t>
  </si>
  <si>
    <t>Ticker symbol</t>
  </si>
  <si>
    <t>Price</t>
  </si>
  <si>
    <t>MarketCap</t>
  </si>
  <si>
    <t>Ge Aerospace</t>
  </si>
  <si>
    <t>Aerospace &amp; Defense</t>
  </si>
  <si>
    <t>GE</t>
  </si>
  <si>
    <t>Rtx Corporation</t>
  </si>
  <si>
    <t>RTX</t>
  </si>
  <si>
    <t>Boeing Company</t>
  </si>
  <si>
    <t>BA</t>
  </si>
  <si>
    <t>Lockheed Martin Corp.</t>
  </si>
  <si>
    <t>LMT</t>
  </si>
  <si>
    <t>Transdigm Group Incorporated</t>
  </si>
  <si>
    <t>TDG</t>
  </si>
  <si>
    <t>General Dynamics Corporation</t>
  </si>
  <si>
    <t>GD</t>
  </si>
  <si>
    <t>Northrop Grumman Corp.</t>
  </si>
  <si>
    <t>NOC</t>
  </si>
  <si>
    <t>Howmet Aerospace Inc.</t>
  </si>
  <si>
    <t>HWM</t>
  </si>
  <si>
    <t>L3harris Technologies, Inc.</t>
  </si>
  <si>
    <t>LHX</t>
  </si>
  <si>
    <t>Axon Enterprise, Inc.</t>
  </si>
  <si>
    <t>AXON</t>
  </si>
  <si>
    <t>Textron, Inc.</t>
  </si>
  <si>
    <t>TXT</t>
  </si>
  <si>
    <t>Huntington Ingalls Industries, Inc.</t>
  </si>
  <si>
    <t>HII</t>
  </si>
  <si>
    <t>Tesla, Inc.</t>
  </si>
  <si>
    <t>Automobiles &amp; Auto Parts</t>
  </si>
  <si>
    <t>TSLA</t>
  </si>
  <si>
    <t>General Motors Company</t>
  </si>
  <si>
    <t>GM</t>
  </si>
  <si>
    <t>Cummins Inc.</t>
  </si>
  <si>
    <t>CMI</t>
  </si>
  <si>
    <t>Ford Motor Company</t>
  </si>
  <si>
    <t>F</t>
  </si>
  <si>
    <t>Genuine Parts Company</t>
  </si>
  <si>
    <t>GPC</t>
  </si>
  <si>
    <t>Aptiv Plc</t>
  </si>
  <si>
    <t>APTV</t>
  </si>
  <si>
    <t>Lkq Corporation</t>
  </si>
  <si>
    <t>LKQ</t>
  </si>
  <si>
    <t>Borgwarner Inc.</t>
  </si>
  <si>
    <t>BWA</t>
  </si>
  <si>
    <t>Jpmorgan Chase &amp; Co.</t>
  </si>
  <si>
    <t>Banking &amp; Financial Services</t>
  </si>
  <si>
    <t>JPM</t>
  </si>
  <si>
    <t>Bank of America Corporation</t>
  </si>
  <si>
    <t>BAC</t>
  </si>
  <si>
    <t>Wells Fargo &amp; Co.</t>
  </si>
  <si>
    <t>WFC</t>
  </si>
  <si>
    <t>American Express Company</t>
  </si>
  <si>
    <t>AXP</t>
  </si>
  <si>
    <t>Pnc Financial Services Group</t>
  </si>
  <si>
    <t>PNC</t>
  </si>
  <si>
    <t>U.S. Bancorp</t>
  </si>
  <si>
    <t>USB</t>
  </si>
  <si>
    <t>Capital One Financial</t>
  </si>
  <si>
    <t>COF</t>
  </si>
  <si>
    <t>Truist Financial Corporation</t>
  </si>
  <si>
    <t>TFC</t>
  </si>
  <si>
    <t>Discover Financial Services</t>
  </si>
  <si>
    <t>DFS</t>
  </si>
  <si>
    <t>M&amp;t Bank Corp.</t>
  </si>
  <si>
    <t>MTB</t>
  </si>
  <si>
    <t>Fifth Third Bancorp</t>
  </si>
  <si>
    <t>FITB</t>
  </si>
  <si>
    <t>Huntington Bancshares Inc</t>
  </si>
  <si>
    <t>HBAN</t>
  </si>
  <si>
    <t>Synchrony Financial</t>
  </si>
  <si>
    <t>SYF</t>
  </si>
  <si>
    <t>Regions Financial Corp.</t>
  </si>
  <si>
    <t>RF</t>
  </si>
  <si>
    <t>Citizens Financial Group, Inc.</t>
  </si>
  <si>
    <t>CFG</t>
  </si>
  <si>
    <t>Keycorp</t>
  </si>
  <si>
    <t>KEY</t>
  </si>
  <si>
    <t>Goldman Sachs Group Inc.</t>
  </si>
  <si>
    <t>GS</t>
  </si>
  <si>
    <t>Progressive Corporation</t>
  </si>
  <si>
    <t>PGR</t>
  </si>
  <si>
    <t>Morgan Stanley</t>
  </si>
  <si>
    <t>MS</t>
  </si>
  <si>
    <t>Blackrock, Inc.</t>
  </si>
  <si>
    <t>BLK</t>
  </si>
  <si>
    <t>Citigroup Inc.</t>
  </si>
  <si>
    <t>C</t>
  </si>
  <si>
    <t>The Charles Schwab Corporation</t>
  </si>
  <si>
    <t>SCHW</t>
  </si>
  <si>
    <t>Marsh &amp; Mclennan Companies, Inc.</t>
  </si>
  <si>
    <t>MMC</t>
  </si>
  <si>
    <t>Chubb Limited</t>
  </si>
  <si>
    <t>CB</t>
  </si>
  <si>
    <t>Blackstone Inc.</t>
  </si>
  <si>
    <t>BX</t>
  </si>
  <si>
    <t>Intercontinental Exchange Inc.</t>
  </si>
  <si>
    <t>ICE</t>
  </si>
  <si>
    <t>Cme Group Inc.</t>
  </si>
  <si>
    <t>CME</t>
  </si>
  <si>
    <t>Aon Plc Class A</t>
  </si>
  <si>
    <t>AON</t>
  </si>
  <si>
    <t>Arthur J. Gallagher &amp; Co.</t>
  </si>
  <si>
    <t>AJG</t>
  </si>
  <si>
    <t>Kkr &amp; Co. Inc.</t>
  </si>
  <si>
    <t>KKR</t>
  </si>
  <si>
    <t>Bank of New York Mellon Corporation</t>
  </si>
  <si>
    <t>BK</t>
  </si>
  <si>
    <t>Apollo Global Management, Inc.</t>
  </si>
  <si>
    <t>APO</t>
  </si>
  <si>
    <t>The Travelers Companies, Inc.</t>
  </si>
  <si>
    <t>TRV</t>
  </si>
  <si>
    <t>Aflac Inc.</t>
  </si>
  <si>
    <t>AFL</t>
  </si>
  <si>
    <t>The Allstate Corporation</t>
  </si>
  <si>
    <t>ALL</t>
  </si>
  <si>
    <t>American International Group, Inc.</t>
  </si>
  <si>
    <t>AIG</t>
  </si>
  <si>
    <t>Ameriprise Financial, Inc.</t>
  </si>
  <si>
    <t>AMP</t>
  </si>
  <si>
    <t>Metlife, Inc.</t>
  </si>
  <si>
    <t>MET</t>
  </si>
  <si>
    <t>Prudential Financial, Inc.</t>
  </si>
  <si>
    <t>PRU</t>
  </si>
  <si>
    <t>Arch Capital Group Ltd</t>
  </si>
  <si>
    <t>ACGL</t>
  </si>
  <si>
    <t>The Hartford Financial Services Group, Inc.</t>
  </si>
  <si>
    <t>HIG</t>
  </si>
  <si>
    <t>Willis Towers Watson Public Limited Companys</t>
  </si>
  <si>
    <t>WTW</t>
  </si>
  <si>
    <t>Nasdaq, Inc.</t>
  </si>
  <si>
    <t>NDAQ</t>
  </si>
  <si>
    <t>Brown &amp; Brown, Inc.</t>
  </si>
  <si>
    <t>BRO</t>
  </si>
  <si>
    <t>State Street Corporation</t>
  </si>
  <si>
    <t>STT</t>
  </si>
  <si>
    <t>Raymond James Financial, Inc.</t>
  </si>
  <si>
    <t>RJF</t>
  </si>
  <si>
    <t>Cboe Global Markets, Inc.</t>
  </si>
  <si>
    <t>CBOE</t>
  </si>
  <si>
    <t>T Rowe Price Group Inc</t>
  </si>
  <si>
    <t>TROW</t>
  </si>
  <si>
    <t>Cincinnati Financial Corp</t>
  </si>
  <si>
    <t>CINF</t>
  </si>
  <si>
    <t>Northern Trust Corp</t>
  </si>
  <si>
    <t>NTRS</t>
  </si>
  <si>
    <t>W.R. Berkley Corporation</t>
  </si>
  <si>
    <t>WRB</t>
  </si>
  <si>
    <t>Principal Financial Group, Inc.</t>
  </si>
  <si>
    <t>PFG</t>
  </si>
  <si>
    <t>Everest Group, Ltd.</t>
  </si>
  <si>
    <t>EG</t>
  </si>
  <si>
    <t>Loews Corporation</t>
  </si>
  <si>
    <t>L</t>
  </si>
  <si>
    <t>Erie Indemnity Co</t>
  </si>
  <si>
    <t>ERIE</t>
  </si>
  <si>
    <t>Globe Life Inc.</t>
  </si>
  <si>
    <t>GL</t>
  </si>
  <si>
    <t>Assurant, Inc.</t>
  </si>
  <si>
    <t>AIZ</t>
  </si>
  <si>
    <t>Marketaxess Holdings Inc.</t>
  </si>
  <si>
    <t>MKTX</t>
  </si>
  <si>
    <t>Invesco Ltd</t>
  </si>
  <si>
    <t>IVZ</t>
  </si>
  <si>
    <t>Franklin Resources, Inc.</t>
  </si>
  <si>
    <t>BEN</t>
  </si>
  <si>
    <t>S&amp;P Global Inc</t>
  </si>
  <si>
    <t>Vertex Pharmaceuticals Inc</t>
  </si>
  <si>
    <t xml:space="preserve">Biotechnology &amp; Chemicals </t>
  </si>
  <si>
    <t>VRTX</t>
  </si>
  <si>
    <t>Regeneron Pharmaceuticals Inc</t>
  </si>
  <si>
    <t>REGN</t>
  </si>
  <si>
    <t>Iqvia Holdings Inc.</t>
  </si>
  <si>
    <t>IQV</t>
  </si>
  <si>
    <t>Moderna, Inc.</t>
  </si>
  <si>
    <t>MRNA</t>
  </si>
  <si>
    <t>Bio-Techne Corp.</t>
  </si>
  <si>
    <t>TECH</t>
  </si>
  <si>
    <t>Charles River Laboratories International, Inc.</t>
  </si>
  <si>
    <t>CRL</t>
  </si>
  <si>
    <t>The Sherwin-Williams Company</t>
  </si>
  <si>
    <t>SHW</t>
  </si>
  <si>
    <t>Air Products &amp; Chemicals, Inc.</t>
  </si>
  <si>
    <t>APD</t>
  </si>
  <si>
    <t>Ecolab, Inc.</t>
  </si>
  <si>
    <t>ECL</t>
  </si>
  <si>
    <t>Corteva, Inc.</t>
  </si>
  <si>
    <t>CTVA</t>
  </si>
  <si>
    <t>Dupont De Nemours, Inc.</t>
  </si>
  <si>
    <t>DD</t>
  </si>
  <si>
    <t>Ppg Industries, Inc.</t>
  </si>
  <si>
    <t>PPG</t>
  </si>
  <si>
    <t>Dow Inc.</t>
  </si>
  <si>
    <t>DOW</t>
  </si>
  <si>
    <t>Lyondellbasell Industries N.v. Class A</t>
  </si>
  <si>
    <t>LYB</t>
  </si>
  <si>
    <t>Cf Industries Holding, Inc.</t>
  </si>
  <si>
    <t>CF</t>
  </si>
  <si>
    <t>Eastman Chemical Company</t>
  </si>
  <si>
    <t>EMN</t>
  </si>
  <si>
    <t>Albemarle Corporation</t>
  </si>
  <si>
    <t>ALB</t>
  </si>
  <si>
    <t>The Mosaic Company</t>
  </si>
  <si>
    <t>MOS</t>
  </si>
  <si>
    <t>Celanese Corporation</t>
  </si>
  <si>
    <t>CE</t>
  </si>
  <si>
    <t>Fmc Corporation</t>
  </si>
  <si>
    <t>FMC</t>
  </si>
  <si>
    <t>Cisco Systems, Inc.</t>
  </si>
  <si>
    <t xml:space="preserve">Communications &amp; Networking </t>
  </si>
  <si>
    <t>CSCO</t>
  </si>
  <si>
    <t>Arista Networks</t>
  </si>
  <si>
    <t>ANET</t>
  </si>
  <si>
    <t>Motorola Solutions, Inc.</t>
  </si>
  <si>
    <t>MSI</t>
  </si>
  <si>
    <t>Garmin Ltd</t>
  </si>
  <si>
    <t>GRMN</t>
  </si>
  <si>
    <t>Juniper Networks Inc</t>
  </si>
  <si>
    <t>JNPR</t>
  </si>
  <si>
    <t>Allegion Public Limited Company</t>
  </si>
  <si>
    <t>ALLE</t>
  </si>
  <si>
    <t>Apple Inc.</t>
  </si>
  <si>
    <t>Computers, Phones &amp; Household Electronics</t>
  </si>
  <si>
    <t>AAPL</t>
  </si>
  <si>
    <t>Hp Inc.</t>
  </si>
  <si>
    <t>HPQ</t>
  </si>
  <si>
    <t>Dell Technologies Inc.</t>
  </si>
  <si>
    <t>DELL</t>
  </si>
  <si>
    <t>Hewlett Packard Enterprise Company</t>
  </si>
  <si>
    <t>HPE</t>
  </si>
  <si>
    <t>Netapp, Inc</t>
  </si>
  <si>
    <t>NTAP</t>
  </si>
  <si>
    <t>Super Micro Computer, Inc.</t>
  </si>
  <si>
    <t>SMCI</t>
  </si>
  <si>
    <t>Seagate Technology Holdings Plcs</t>
  </si>
  <si>
    <t>STX</t>
  </si>
  <si>
    <t>Western Digital Corp.</t>
  </si>
  <si>
    <t>WDC</t>
  </si>
  <si>
    <t>Sandisk Corporation</t>
  </si>
  <si>
    <t>SNDK</t>
  </si>
  <si>
    <t>Berkshire Hathaway Class B</t>
  </si>
  <si>
    <t xml:space="preserve">Consumer Goods Conglomerates </t>
  </si>
  <si>
    <t>BRK.B</t>
  </si>
  <si>
    <t>Honeywell International, Inc.</t>
  </si>
  <si>
    <t>HON</t>
  </si>
  <si>
    <t>3m Company</t>
  </si>
  <si>
    <t>MMM</t>
  </si>
  <si>
    <t>Illinois Tool Works Inc.</t>
  </si>
  <si>
    <t>ITW</t>
  </si>
  <si>
    <t>International Paper Co.</t>
  </si>
  <si>
    <t>Container &amp; Packaging</t>
  </si>
  <si>
    <t>IP</t>
  </si>
  <si>
    <t>Smurfit Westrock Plc</t>
  </si>
  <si>
    <t>SW</t>
  </si>
  <si>
    <t>Packaging Corp of America</t>
  </si>
  <si>
    <t>PKG</t>
  </si>
  <si>
    <t>Ball Corporation</t>
  </si>
  <si>
    <t>BALL</t>
  </si>
  <si>
    <t>Avery Dennison Corp.</t>
  </si>
  <si>
    <t>AVY</t>
  </si>
  <si>
    <t>Amcor Plcs</t>
  </si>
  <si>
    <t>AMCR</t>
  </si>
  <si>
    <t>Amazon.com Inc</t>
  </si>
  <si>
    <t>Retail</t>
  </si>
  <si>
    <t>AMZN</t>
  </si>
  <si>
    <t>Costco Wholesale Corp</t>
  </si>
  <si>
    <t>COST</t>
  </si>
  <si>
    <t>Tjx Companies, Inc.</t>
  </si>
  <si>
    <t>TJX</t>
  </si>
  <si>
    <t>Target Corporation</t>
  </si>
  <si>
    <t>TGT</t>
  </si>
  <si>
    <t>Dollar General Corp.</t>
  </si>
  <si>
    <t>DG</t>
  </si>
  <si>
    <t>Dollar Tree Inc.</t>
  </si>
  <si>
    <t>DLTR</t>
  </si>
  <si>
    <t>Walmart Inc.</t>
  </si>
  <si>
    <t>WMT</t>
  </si>
  <si>
    <t>The Kroger Co.</t>
  </si>
  <si>
    <t>KR</t>
  </si>
  <si>
    <t>Sysco Corporation</t>
  </si>
  <si>
    <t>SYY</t>
  </si>
  <si>
    <t>Walgreens Boots Alliance, Inc</t>
  </si>
  <si>
    <t>WBA</t>
  </si>
  <si>
    <t>Home Depot, Inc.</t>
  </si>
  <si>
    <t>HD</t>
  </si>
  <si>
    <t>Lowe's Companies Inc.</t>
  </si>
  <si>
    <t>LOW</t>
  </si>
  <si>
    <t>O'reilly Automotive, Inc.</t>
  </si>
  <si>
    <t>ORLY</t>
  </si>
  <si>
    <t>Autozone, Inc.</t>
  </si>
  <si>
    <t>AZO</t>
  </si>
  <si>
    <t>Ross Stores Inc</t>
  </si>
  <si>
    <t>ROST</t>
  </si>
  <si>
    <t>Tractor Supply Co</t>
  </si>
  <si>
    <t>TSCO</t>
  </si>
  <si>
    <t>Mettler-Toledo International</t>
  </si>
  <si>
    <t>MTD</t>
  </si>
  <si>
    <t>Tapestry, Inc.</t>
  </si>
  <si>
    <t>TPR</t>
  </si>
  <si>
    <t>Ulta Beauty, Inc.</t>
  </si>
  <si>
    <t>ULTA</t>
  </si>
  <si>
    <t>Best Buy Company, Inc.</t>
  </si>
  <si>
    <t>BBY</t>
  </si>
  <si>
    <t>Carmax Inc.</t>
  </si>
  <si>
    <t>KMX</t>
  </si>
  <si>
    <t>Mohawk Industries, Inc.</t>
  </si>
  <si>
    <t>MHK</t>
  </si>
  <si>
    <t>Nextra Energy, Inc.</t>
  </si>
  <si>
    <t>Electrical Utilities &amp; IPPS</t>
  </si>
  <si>
    <t>NEE</t>
  </si>
  <si>
    <t>The Southern Company</t>
  </si>
  <si>
    <t>SO</t>
  </si>
  <si>
    <t>Duke Energy Corporation</t>
  </si>
  <si>
    <t>DUK</t>
  </si>
  <si>
    <t>Ge Vernova Inc.</t>
  </si>
  <si>
    <t>GEV</t>
  </si>
  <si>
    <t>Constellation Energy Corporation</t>
  </si>
  <si>
    <t>CEG</t>
  </si>
  <si>
    <t>American Electric Power Company, Inc.</t>
  </si>
  <si>
    <t>AEP</t>
  </si>
  <si>
    <t>Dominion Energy, Inc.</t>
  </si>
  <si>
    <t>D</t>
  </si>
  <si>
    <t>Exelon Corporation</t>
  </si>
  <si>
    <t>EXC</t>
  </si>
  <si>
    <t>Vistra Corp.</t>
  </si>
  <si>
    <t>VST</t>
  </si>
  <si>
    <t>Xcel Energy, Inc.</t>
  </si>
  <si>
    <t>XEL</t>
  </si>
  <si>
    <t>Pg&amp;e Corporation</t>
  </si>
  <si>
    <t>PCG</t>
  </si>
  <si>
    <t>Consolidated Edison, Inc.</t>
  </si>
  <si>
    <t>ED</t>
  </si>
  <si>
    <t>Entergy Corporation</t>
  </si>
  <si>
    <t>ETR</t>
  </si>
  <si>
    <t>Wec Energy Group, Inc.</t>
  </si>
  <si>
    <t>WEC</t>
  </si>
  <si>
    <t>Dte Energy Company</t>
  </si>
  <si>
    <t>DTE</t>
  </si>
  <si>
    <t>Eversource Energy</t>
  </si>
  <si>
    <t>ES</t>
  </si>
  <si>
    <t>Edison International</t>
  </si>
  <si>
    <t>EIX</t>
  </si>
  <si>
    <t>Firstenergy Corp.</t>
  </si>
  <si>
    <t>FE</t>
  </si>
  <si>
    <t>Nrg Energy, Inc.</t>
  </si>
  <si>
    <t>NRG</t>
  </si>
  <si>
    <t>Alliant Energy Corporation</t>
  </si>
  <si>
    <t>LNT</t>
  </si>
  <si>
    <t>Evergy, Inc.</t>
  </si>
  <si>
    <t>EVRG</t>
  </si>
  <si>
    <t>Pinnacle West Capital Corporation</t>
  </si>
  <si>
    <t>PNW</t>
  </si>
  <si>
    <t>Aes Corporation</t>
  </si>
  <si>
    <t>AES</t>
  </si>
  <si>
    <t>Amphenol Corporation</t>
  </si>
  <si>
    <t>APH</t>
  </si>
  <si>
    <t>Te Connectivity Plc</t>
  </si>
  <si>
    <t>TEL</t>
  </si>
  <si>
    <t>Corning Incorporated</t>
  </si>
  <si>
    <t>GLW</t>
  </si>
  <si>
    <t>Keysight Technologies, Inc.</t>
  </si>
  <si>
    <t>KEYS</t>
  </si>
  <si>
    <t>Teledyne Technologies Incorporated</t>
  </si>
  <si>
    <t>TDY</t>
  </si>
  <si>
    <t>Jabil Inc.</t>
  </si>
  <si>
    <t>JBL</t>
  </si>
  <si>
    <t>Zebra Technologies Corporation</t>
  </si>
  <si>
    <t>ZBRA</t>
  </si>
  <si>
    <t>Philip Morris International Inc.</t>
  </si>
  <si>
    <t>Food &amp; Tobacco</t>
  </si>
  <si>
    <t>PM</t>
  </si>
  <si>
    <t>Altria Group, Inc.</t>
  </si>
  <si>
    <t>MO</t>
  </si>
  <si>
    <t>Mondelez International, Inc. Class A</t>
  </si>
  <si>
    <t>MDLZ</t>
  </si>
  <si>
    <t>General Mills, Inc.</t>
  </si>
  <si>
    <t>GIS</t>
  </si>
  <si>
    <t>The Kraft Heinz Company</t>
  </si>
  <si>
    <t>KHC</t>
  </si>
  <si>
    <t>The Hershey Company</t>
  </si>
  <si>
    <t>HSY</t>
  </si>
  <si>
    <t>Archer Daniels Midland Company</t>
  </si>
  <si>
    <t>ADM</t>
  </si>
  <si>
    <t>Kellanova</t>
  </si>
  <si>
    <t>K</t>
  </si>
  <si>
    <t>International Flavors &amp; Fragrances Inc.</t>
  </si>
  <si>
    <t>IFF</t>
  </si>
  <si>
    <t>Mccormick &amp; Company, Incorporated Non-Vtg Cs</t>
  </si>
  <si>
    <t>MKC</t>
  </si>
  <si>
    <t>Tyson Foods, Inc.</t>
  </si>
  <si>
    <t>TSN</t>
  </si>
  <si>
    <t>Conagra Brands, Inc.</t>
  </si>
  <si>
    <t>CAG</t>
  </si>
  <si>
    <t>The J.M. Smucker Company</t>
  </si>
  <si>
    <t>SJM</t>
  </si>
  <si>
    <t>Bunge Global Sa</t>
  </si>
  <si>
    <t>BG</t>
  </si>
  <si>
    <t>Hormel Foods Corporation</t>
  </si>
  <si>
    <t>HRL</t>
  </si>
  <si>
    <t>The Campbell's Company</t>
  </si>
  <si>
    <t>CPB</t>
  </si>
  <si>
    <t>Lamb Weston Holdings, Inc.</t>
  </si>
  <si>
    <t>LW</t>
  </si>
  <si>
    <t>Union Pacific Corp.</t>
  </si>
  <si>
    <t>Freight &amp; Logistics</t>
  </si>
  <si>
    <t>UNP</t>
  </si>
  <si>
    <t>United Parcel Service, Inc. Class B</t>
  </si>
  <si>
    <t>UPS</t>
  </si>
  <si>
    <t>Csx Corporation</t>
  </si>
  <si>
    <t>CSX</t>
  </si>
  <si>
    <t>Fedex Corporation</t>
  </si>
  <si>
    <t>FDX</t>
  </si>
  <si>
    <t>Norfolk Southern Corp.</t>
  </si>
  <si>
    <t>NSC</t>
  </si>
  <si>
    <t>Old Dominion Freight Line</t>
  </si>
  <si>
    <t>ODFL</t>
  </si>
  <si>
    <t>Expeditors International of Washington, Inc.</t>
  </si>
  <si>
    <t>EXPD</t>
  </si>
  <si>
    <t>Jb Hunt Transport Services Inc</t>
  </si>
  <si>
    <t>JBHT</t>
  </si>
  <si>
    <t>C.H. Robinson Worldwide, Inc.</t>
  </si>
  <si>
    <t>CHRW</t>
  </si>
  <si>
    <t>Unitedhealth Group Incorporated</t>
  </si>
  <si>
    <t>Healthcare Services &amp; equipment</t>
  </si>
  <si>
    <t>UNH</t>
  </si>
  <si>
    <t>Abbott Laboratories</t>
  </si>
  <si>
    <t>ABT</t>
  </si>
  <si>
    <t>Thermo Fisher Scientific, Inc.</t>
  </si>
  <si>
    <t>TMO</t>
  </si>
  <si>
    <t>Intuitive Surgical Inc.</t>
  </si>
  <si>
    <t>ISRG</t>
  </si>
  <si>
    <t>Boston Scientific Corp.</t>
  </si>
  <si>
    <t>BSX</t>
  </si>
  <si>
    <t>Danaher Corporation</t>
  </si>
  <si>
    <t>DHR</t>
  </si>
  <si>
    <t>Stryker Corporation</t>
  </si>
  <si>
    <t>SYK</t>
  </si>
  <si>
    <t>Medtronic Plc</t>
  </si>
  <si>
    <t>MDT</t>
  </si>
  <si>
    <t>Elevance Health, Inc.</t>
  </si>
  <si>
    <t>ELV</t>
  </si>
  <si>
    <t>The Cigna Group</t>
  </si>
  <si>
    <t>CI</t>
  </si>
  <si>
    <t>Cvs Health Corporation</t>
  </si>
  <si>
    <t>CVS</t>
  </si>
  <si>
    <t>Becton, Dickinson and Co.</t>
  </si>
  <si>
    <t>BDX</t>
  </si>
  <si>
    <t>Hca Healthcare, Inc.</t>
  </si>
  <si>
    <t>HCA</t>
  </si>
  <si>
    <t>Cencora, Inc.</t>
  </si>
  <si>
    <t>COR</t>
  </si>
  <si>
    <t>Edwards Lifesciences Corp</t>
  </si>
  <si>
    <t>EW</t>
  </si>
  <si>
    <t>Ge Healthcare Technologies Inc.</t>
  </si>
  <si>
    <t>GEHC</t>
  </si>
  <si>
    <t>Agilent Technologies Inc.</t>
  </si>
  <si>
    <t>A</t>
  </si>
  <si>
    <t>Idexx Laboratories Inc</t>
  </si>
  <si>
    <t>IDXX</t>
  </si>
  <si>
    <t>Resmed Inc.</t>
  </si>
  <si>
    <t>RMD</t>
  </si>
  <si>
    <t>Humana Inc.</t>
  </si>
  <si>
    <t>HUM</t>
  </si>
  <si>
    <t>Dexcom, Inc.</t>
  </si>
  <si>
    <t>DXCM</t>
  </si>
  <si>
    <t>Centene Corporation</t>
  </si>
  <si>
    <t>CNC</t>
  </si>
  <si>
    <t>Steris Plc</t>
  </si>
  <si>
    <t>STE</t>
  </si>
  <si>
    <t>Waters Corp</t>
  </si>
  <si>
    <t>WAT</t>
  </si>
  <si>
    <t>Labcorp Holdings Inc.</t>
  </si>
  <si>
    <t>LH</t>
  </si>
  <si>
    <t>Zimmer Biomet Holdings, Inc.</t>
  </si>
  <si>
    <t>ZBH</t>
  </si>
  <si>
    <t>Quest Diagnostics Inc.</t>
  </si>
  <si>
    <t>DGX</t>
  </si>
  <si>
    <t>Molina Healthcare, Inc.</t>
  </si>
  <si>
    <t>MOH</t>
  </si>
  <si>
    <t>Insulet Corporation</t>
  </si>
  <si>
    <t>PODD</t>
  </si>
  <si>
    <t>Baxter International Inc.</t>
  </si>
  <si>
    <t>BAX</t>
  </si>
  <si>
    <t>The Cooper Companies, Inc.</t>
  </si>
  <si>
    <t>COO</t>
  </si>
  <si>
    <t>West Pharmaceutical Services, Inc.</t>
  </si>
  <si>
    <t>WST</t>
  </si>
  <si>
    <t>Hologic Inc</t>
  </si>
  <si>
    <t>HOLX</t>
  </si>
  <si>
    <t>Revvity, Inc.</t>
  </si>
  <si>
    <t>RVTY</t>
  </si>
  <si>
    <t>Align Technology Inc</t>
  </si>
  <si>
    <t>ALGN</t>
  </si>
  <si>
    <t>Solventum Corporation</t>
  </si>
  <si>
    <t>SOLV</t>
  </si>
  <si>
    <t>Universal Health Services, Inc. Class B</t>
  </si>
  <si>
    <t>UHS</t>
  </si>
  <si>
    <t>Henry Schein Inc</t>
  </si>
  <si>
    <t>HSIC</t>
  </si>
  <si>
    <t>Davita Inc.</t>
  </si>
  <si>
    <t>DVA</t>
  </si>
  <si>
    <t>Teleflex Incorporated</t>
  </si>
  <si>
    <t>TFX</t>
  </si>
  <si>
    <t>Prologis, Inc.</t>
  </si>
  <si>
    <t>REIT</t>
  </si>
  <si>
    <t>PLD</t>
  </si>
  <si>
    <t>American Tower Corporation</t>
  </si>
  <si>
    <t>AMT</t>
  </si>
  <si>
    <t>Welltower Inc.</t>
  </si>
  <si>
    <t>WELL</t>
  </si>
  <si>
    <t>Equinix, Inc. Reit</t>
  </si>
  <si>
    <t>EQIX</t>
  </si>
  <si>
    <t>Simon Property Group, Inc.</t>
  </si>
  <si>
    <t>SPG</t>
  </si>
  <si>
    <t>Realty Income Corporation</t>
  </si>
  <si>
    <t>O</t>
  </si>
  <si>
    <t>Public Storage</t>
  </si>
  <si>
    <t>PSA</t>
  </si>
  <si>
    <t>Digital Realty Trust, Inc.</t>
  </si>
  <si>
    <t>DLR</t>
  </si>
  <si>
    <t>Crown Castle Inc.</t>
  </si>
  <si>
    <t>CCI</t>
  </si>
  <si>
    <t>Cbre Group, Inc.</t>
  </si>
  <si>
    <t>CBRE</t>
  </si>
  <si>
    <t>D.R. Horton Inc.</t>
  </si>
  <si>
    <t>DHI</t>
  </si>
  <si>
    <t>Vici Properties Inc.</t>
  </si>
  <si>
    <t>VICI</t>
  </si>
  <si>
    <t>Extra Space Storage, Inc.</t>
  </si>
  <si>
    <t>EXR</t>
  </si>
  <si>
    <t>Avalonbay Communities, Inc.</t>
  </si>
  <si>
    <t>AVB</t>
  </si>
  <si>
    <t>Lennar Corporation Class A</t>
  </si>
  <si>
    <t>LEN</t>
  </si>
  <si>
    <t>Ventas, Inc.</t>
  </si>
  <si>
    <t>VTR</t>
  </si>
  <si>
    <t>Equity Residential</t>
  </si>
  <si>
    <t>EQR</t>
  </si>
  <si>
    <t>Iron Mountain Inc.</t>
  </si>
  <si>
    <t>IRM</t>
  </si>
  <si>
    <t>Sba Communications Corp</t>
  </si>
  <si>
    <t>SBAC</t>
  </si>
  <si>
    <t>Nvr, Inc.</t>
  </si>
  <si>
    <t>NVR</t>
  </si>
  <si>
    <t>Pultegroup, Inc.</t>
  </si>
  <si>
    <t>PHM</t>
  </si>
  <si>
    <t>Weyerhaeuser Company</t>
  </si>
  <si>
    <t>WY</t>
  </si>
  <si>
    <t>Mid-America Apartment Communities, Inc.</t>
  </si>
  <si>
    <t>MAA</t>
  </si>
  <si>
    <t>Essex Property Trust, Inc</t>
  </si>
  <si>
    <t>ESS</t>
  </si>
  <si>
    <t>Invitation Homes Inc.</t>
  </si>
  <si>
    <t>INVH</t>
  </si>
  <si>
    <t>Masco Corporation</t>
  </si>
  <si>
    <t>MAS</t>
  </si>
  <si>
    <t>Alexandria Real Estate Equities, Inc.</t>
  </si>
  <si>
    <t>ARE</t>
  </si>
  <si>
    <t>Builders Firstsource, Inc.</t>
  </si>
  <si>
    <t>BLDR</t>
  </si>
  <si>
    <t>Kimco Realty Corp.</t>
  </si>
  <si>
    <t>KIM</t>
  </si>
  <si>
    <t>Healthpeak Properties, Inc.</t>
  </si>
  <si>
    <t>DOC</t>
  </si>
  <si>
    <t>Udr, Inc.</t>
  </si>
  <si>
    <t>UDR</t>
  </si>
  <si>
    <t>Camden Property Trust</t>
  </si>
  <si>
    <t>CPT</t>
  </si>
  <si>
    <t>Regency Centers Corporation</t>
  </si>
  <si>
    <t>REG</t>
  </si>
  <si>
    <t>Host Hotels &amp; Resorts, Inc.</t>
  </si>
  <si>
    <t>HST</t>
  </si>
  <si>
    <t>Bxp, Inc.</t>
  </si>
  <si>
    <t>BXP</t>
  </si>
  <si>
    <t>Federal Realty Investment Trust</t>
  </si>
  <si>
    <t>FRT</t>
  </si>
  <si>
    <t>Mcdonald's Corporation</t>
  </si>
  <si>
    <t>Hotels &amp; entertainment Services</t>
  </si>
  <si>
    <t>MCD</t>
  </si>
  <si>
    <t>Booking Holdings Inc.</t>
  </si>
  <si>
    <t>BKNG</t>
  </si>
  <si>
    <t>Starbucks Corp</t>
  </si>
  <si>
    <t>SBUX</t>
  </si>
  <si>
    <t>Chipotle Mexican Grill, Inc.</t>
  </si>
  <si>
    <t>CMG</t>
  </si>
  <si>
    <t>Hilton Worldwide Holdings Inc.</t>
  </si>
  <si>
    <t>HLT</t>
  </si>
  <si>
    <t>Marriot International Class A</t>
  </si>
  <si>
    <t>MAR</t>
  </si>
  <si>
    <t>Royal Caribbean Group</t>
  </si>
  <si>
    <t>RCL</t>
  </si>
  <si>
    <t>Yum! Brands, Inc.</t>
  </si>
  <si>
    <t>YUM</t>
  </si>
  <si>
    <t>Expedia Group, Inc.</t>
  </si>
  <si>
    <t>EXPE</t>
  </si>
  <si>
    <t>Darden Restaurants, Inc.</t>
  </si>
  <si>
    <t>DRI</t>
  </si>
  <si>
    <t>Carnival Corporation</t>
  </si>
  <si>
    <t>CCL</t>
  </si>
  <si>
    <t>Domino's Pizza Inc.</t>
  </si>
  <si>
    <t>DPZ</t>
  </si>
  <si>
    <t>Las Vegas Sands Corp.</t>
  </si>
  <si>
    <t>LVS</t>
  </si>
  <si>
    <t>Pool Corporation</t>
  </si>
  <si>
    <t>POOL</t>
  </si>
  <si>
    <t>Norwegian Cruise Line Holdings Ltd.s</t>
  </si>
  <si>
    <t>NCLH</t>
  </si>
  <si>
    <t>Hasbro, Inc.</t>
  </si>
  <si>
    <t>HAS</t>
  </si>
  <si>
    <t>Wynn Resorts Ltd</t>
  </si>
  <si>
    <t>WYNN</t>
  </si>
  <si>
    <t>Mgm Resorts International</t>
  </si>
  <si>
    <t>MGM</t>
  </si>
  <si>
    <t>Caesars Entertainment, Inc.</t>
  </si>
  <si>
    <t>CZR</t>
  </si>
  <si>
    <t>Quanta Services, Inc.</t>
  </si>
  <si>
    <t>Construction &amp; Engineering</t>
  </si>
  <si>
    <t>PWR</t>
  </si>
  <si>
    <t>Vulcan Materials Company</t>
  </si>
  <si>
    <t>Construction Materials</t>
  </si>
  <si>
    <t>VMC</t>
  </si>
  <si>
    <t>Martin Marietta Materials</t>
  </si>
  <si>
    <t>MLM</t>
  </si>
  <si>
    <t>Exxon Mobil Corporation</t>
  </si>
  <si>
    <t>OIl &amp; Natural resources</t>
  </si>
  <si>
    <t>XOM</t>
  </si>
  <si>
    <t>Chevron Corporation</t>
  </si>
  <si>
    <t>CVX</t>
  </si>
  <si>
    <t>Conocophillips</t>
  </si>
  <si>
    <t>COP</t>
  </si>
  <si>
    <t>Eog Resources, Inc.</t>
  </si>
  <si>
    <t>EOG</t>
  </si>
  <si>
    <t>Williams Companies Inc.</t>
  </si>
  <si>
    <t>WMB</t>
  </si>
  <si>
    <t>Schlumberger Limited</t>
  </si>
  <si>
    <t>SLB</t>
  </si>
  <si>
    <t>Oneok, Inc.</t>
  </si>
  <si>
    <t>OKE</t>
  </si>
  <si>
    <t>Freeport-Mcmoran Inc.</t>
  </si>
  <si>
    <t>FCX</t>
  </si>
  <si>
    <t>Kinder Morgan, Inc.</t>
  </si>
  <si>
    <t>KMI</t>
  </si>
  <si>
    <t>Phillips 66</t>
  </si>
  <si>
    <t>PSX</t>
  </si>
  <si>
    <t>Newmont Corporation</t>
  </si>
  <si>
    <t>NEM</t>
  </si>
  <si>
    <t>Marathon Petroleum Corporation</t>
  </si>
  <si>
    <t>MPC</t>
  </si>
  <si>
    <t>Baker Hughes Company</t>
  </si>
  <si>
    <t>BKR</t>
  </si>
  <si>
    <t>Valero Energy Corporation</t>
  </si>
  <si>
    <t>VLO</t>
  </si>
  <si>
    <t>Targa Resources Corp.</t>
  </si>
  <si>
    <t>TRGP</t>
  </si>
  <si>
    <t>Hess Corporation</t>
  </si>
  <si>
    <t>HES</t>
  </si>
  <si>
    <t>Nucor Corporation</t>
  </si>
  <si>
    <t>NUE</t>
  </si>
  <si>
    <t>Occidental Petroleum Corporation</t>
  </si>
  <si>
    <t>OXY</t>
  </si>
  <si>
    <t>Eqt Corp</t>
  </si>
  <si>
    <t>EQT</t>
  </si>
  <si>
    <t>American Water Works Company, Inc</t>
  </si>
  <si>
    <t>AWK</t>
  </si>
  <si>
    <t>Diamondback Energy, Inc.</t>
  </si>
  <si>
    <t>FANG</t>
  </si>
  <si>
    <t>Texas Pacific Land Corporation</t>
  </si>
  <si>
    <t>TPL</t>
  </si>
  <si>
    <t>Atmos Energy Corporation</t>
  </si>
  <si>
    <t>ATO</t>
  </si>
  <si>
    <t>Devon Energy Corporation</t>
  </si>
  <si>
    <t>DVN</t>
  </si>
  <si>
    <t>Halliburton Company</t>
  </si>
  <si>
    <t>HAL</t>
  </si>
  <si>
    <t>Coterra Energy Inc.</t>
  </si>
  <si>
    <t>CTRA</t>
  </si>
  <si>
    <t>Steel Dynamics Inc</t>
  </si>
  <si>
    <t>STLD</t>
  </si>
  <si>
    <t>Pentair Plc</t>
  </si>
  <si>
    <t>PNR</t>
  </si>
  <si>
    <t>First Solar, Inc.</t>
  </si>
  <si>
    <t>FSLR</t>
  </si>
  <si>
    <t>Enphase Energy, Inc.</t>
  </si>
  <si>
    <t>ENPH</t>
  </si>
  <si>
    <t>Apa Corporation</t>
  </si>
  <si>
    <t>APA</t>
  </si>
  <si>
    <t>Eli Lilly &amp; Co.</t>
  </si>
  <si>
    <t>Pharmaceuticals</t>
  </si>
  <si>
    <t>LLY</t>
  </si>
  <si>
    <t>Johnson &amp; Johnson</t>
  </si>
  <si>
    <t>JNJ</t>
  </si>
  <si>
    <t>Abbvie Inc.</t>
  </si>
  <si>
    <t>ABBV</t>
  </si>
  <si>
    <t>Merck &amp; Co., Inc.</t>
  </si>
  <si>
    <t>MRK</t>
  </si>
  <si>
    <t>Amgen Inc</t>
  </si>
  <si>
    <t>AMGN</t>
  </si>
  <si>
    <t>Pfizer Inc.</t>
  </si>
  <si>
    <t>PFE</t>
  </si>
  <si>
    <t>Gilead Sciences Inc</t>
  </si>
  <si>
    <t>GILD</t>
  </si>
  <si>
    <t>Bristol-Myers Squibb Co.</t>
  </si>
  <si>
    <t>BMY</t>
  </si>
  <si>
    <t>Mckesson Corporation</t>
  </si>
  <si>
    <t>MCK</t>
  </si>
  <si>
    <t>Zoetis Inc.</t>
  </si>
  <si>
    <t>ZTS</t>
  </si>
  <si>
    <t>Cardinal Health, Inc.</t>
  </si>
  <si>
    <t>CAH</t>
  </si>
  <si>
    <t>Biogen Inc.</t>
  </si>
  <si>
    <t>BIIB</t>
  </si>
  <si>
    <t>Viatris Inc.</t>
  </si>
  <si>
    <t>VTRS</t>
  </si>
  <si>
    <t>Incyte Genomics Inc</t>
  </si>
  <si>
    <t>INCY</t>
  </si>
  <si>
    <t>Nvidia Corp</t>
  </si>
  <si>
    <r>
      <t>Semiconductors &amp; Semiconductor Equipment</t>
    </r>
    <r>
      <rPr>
        <b/>
        <sz val="14"/>
        <color rgb="FF595959"/>
        <rFont val="Calibri"/>
        <family val="2"/>
        <scheme val="minor"/>
      </rPr>
      <t xml:space="preserve"> </t>
    </r>
  </si>
  <si>
    <t>NVDA</t>
  </si>
  <si>
    <t>Broadcom Inc.</t>
  </si>
  <si>
    <t>AVGO</t>
  </si>
  <si>
    <t>Qualcomm Inc</t>
  </si>
  <si>
    <t>QCOM</t>
  </si>
  <si>
    <t>Texas Instruments Incorporated</t>
  </si>
  <si>
    <t>TXN</t>
  </si>
  <si>
    <t>Advanced Micro Devices</t>
  </si>
  <si>
    <t>AMD</t>
  </si>
  <si>
    <t>Applied Materials Inc</t>
  </si>
  <si>
    <t>AMAT</t>
  </si>
  <si>
    <t>Analog Devices, Inc.</t>
  </si>
  <si>
    <t>ADI</t>
  </si>
  <si>
    <t>Micron Technology, Inc.</t>
  </si>
  <si>
    <t>MU</t>
  </si>
  <si>
    <t>Lam Research Corp</t>
  </si>
  <si>
    <t>LRCX</t>
  </si>
  <si>
    <t>Kla Corporation</t>
  </si>
  <si>
    <t>KLAC</t>
  </si>
  <si>
    <t>Intel Corp</t>
  </si>
  <si>
    <t>INTC</t>
  </si>
  <si>
    <t>Nxp Semiconductors N.v.</t>
  </si>
  <si>
    <t>NXPI</t>
  </si>
  <si>
    <t>Microchip Technology Inc</t>
  </si>
  <si>
    <t>MCHP</t>
  </si>
  <si>
    <t>Monolithic Power Systems, Inc.</t>
  </si>
  <si>
    <t>MPWR</t>
  </si>
  <si>
    <t>On Semiconductor Corp</t>
  </si>
  <si>
    <t>ON</t>
  </si>
  <si>
    <t>Teradyne, Inc.</t>
  </si>
  <si>
    <t>TER</t>
  </si>
  <si>
    <t>Skyworks Solutions Inc</t>
  </si>
  <si>
    <t>SWKS</t>
  </si>
  <si>
    <t>Microsoft Corp</t>
  </si>
  <si>
    <r>
      <t>Software &amp; IT Services</t>
    </r>
    <r>
      <rPr>
        <b/>
        <sz val="14"/>
        <color rgb="FF595959"/>
        <rFont val="Calibri"/>
        <family val="2"/>
        <scheme val="minor"/>
      </rPr>
      <t xml:space="preserve"> </t>
    </r>
  </si>
  <si>
    <t>MSFT</t>
  </si>
  <si>
    <t>Meta Platforms, Inc. Class A</t>
  </si>
  <si>
    <t>META</t>
  </si>
  <si>
    <t>Alphabet Inc. Class A</t>
  </si>
  <si>
    <t>GOOGL</t>
  </si>
  <si>
    <t>Alphabet Inc. Class C</t>
  </si>
  <si>
    <t>GOOG</t>
  </si>
  <si>
    <t>Visa Inc.</t>
  </si>
  <si>
    <t>V</t>
  </si>
  <si>
    <t>Mastercard Incorporated</t>
  </si>
  <si>
    <t>MA</t>
  </si>
  <si>
    <t>Netflix Inc</t>
  </si>
  <si>
    <t>NFLX</t>
  </si>
  <si>
    <t>Salesforce, Inc.</t>
  </si>
  <si>
    <t>CRM</t>
  </si>
  <si>
    <t>Oracle Corp</t>
  </si>
  <si>
    <t>ORCL</t>
  </si>
  <si>
    <t>International Business Machines Corporation</t>
  </si>
  <si>
    <t>IBM</t>
  </si>
  <si>
    <t>Accenture Plc</t>
  </si>
  <si>
    <t>ACN</t>
  </si>
  <si>
    <t>Adobe Inc.</t>
  </si>
  <si>
    <t>ADBE</t>
  </si>
  <si>
    <t>Servicenow, Inc.</t>
  </si>
  <si>
    <t>NOW</t>
  </si>
  <si>
    <t>Palantir Technologies Inc. Class A</t>
  </si>
  <si>
    <t>PLTR</t>
  </si>
  <si>
    <t>Uber Technologies, Inc.</t>
  </si>
  <si>
    <t>UBER</t>
  </si>
  <si>
    <t>Automatic Data Processing</t>
  </si>
  <si>
    <t>ADP</t>
  </si>
  <si>
    <t>Palo Alto Networks, Inc.</t>
  </si>
  <si>
    <t>PANW</t>
  </si>
  <si>
    <t>Crowdstrike Holdings, Inc. Class A</t>
  </si>
  <si>
    <t>CRWD</t>
  </si>
  <si>
    <t>Synopsys Inc</t>
  </si>
  <si>
    <t>SNPS</t>
  </si>
  <si>
    <t>Cadence Design Systems</t>
  </si>
  <si>
    <t>CDNS</t>
  </si>
  <si>
    <t>Fortinet, Inc.</t>
  </si>
  <si>
    <t>FTNT</t>
  </si>
  <si>
    <t>Roper Technologies, Inc.</t>
  </si>
  <si>
    <t>ROP</t>
  </si>
  <si>
    <t>Airbnb, Inc. Class A</t>
  </si>
  <si>
    <t>ABNB</t>
  </si>
  <si>
    <t>Autodesk Inc</t>
  </si>
  <si>
    <t>ADSK</t>
  </si>
  <si>
    <t>Workday, Inc. Class A</t>
  </si>
  <si>
    <t>WDAY</t>
  </si>
  <si>
    <t>Copart Inc</t>
  </si>
  <si>
    <t>CPRT</t>
  </si>
  <si>
    <t>Fair Isaac Corporation</t>
  </si>
  <si>
    <t>FICO</t>
  </si>
  <si>
    <t>Verisk Analytics, Inc.</t>
  </si>
  <si>
    <t>VRSK</t>
  </si>
  <si>
    <t>Cognizant Technology Solutions</t>
  </si>
  <si>
    <t>CTSH</t>
  </si>
  <si>
    <t>Gartner, Inc.</t>
  </si>
  <si>
    <t>IT</t>
  </si>
  <si>
    <t>Take-Two Interactive Software Inc</t>
  </si>
  <si>
    <t>TTWO</t>
  </si>
  <si>
    <t>Electronic Arts Inc</t>
  </si>
  <si>
    <t>EA</t>
  </si>
  <si>
    <t>Ebay Inc</t>
  </si>
  <si>
    <t>EBAY</t>
  </si>
  <si>
    <t>Costar Group Inc</t>
  </si>
  <si>
    <t>CSGP</t>
  </si>
  <si>
    <t>Ansys Inc</t>
  </si>
  <si>
    <t>ANSS</t>
  </si>
  <si>
    <t>Tyler Technologies, Inc.</t>
  </si>
  <si>
    <t>TYL</t>
  </si>
  <si>
    <t>Godaddy Inc</t>
  </si>
  <si>
    <t>GDDY</t>
  </si>
  <si>
    <t>Verisign Inc</t>
  </si>
  <si>
    <t>VRSN</t>
  </si>
  <si>
    <t>Ptc, Inc</t>
  </si>
  <si>
    <t>PTC</t>
  </si>
  <si>
    <t>Leidos Holdings, Inc.</t>
  </si>
  <si>
    <t>LDOS</t>
  </si>
  <si>
    <t>Trimble Inc.</t>
  </si>
  <si>
    <t>TRMB</t>
  </si>
  <si>
    <t>F5, Inc.</t>
  </si>
  <si>
    <t>FFIV</t>
  </si>
  <si>
    <t>Gen Digital Inc.</t>
  </si>
  <si>
    <t>GEN</t>
  </si>
  <si>
    <t>Henry (Jack) &amp; Associates</t>
  </si>
  <si>
    <t>JKHY</t>
  </si>
  <si>
    <t>Akamai Technologies Inc</t>
  </si>
  <si>
    <t>AKAM</t>
  </si>
  <si>
    <t>Epam Systems, Inc.</t>
  </si>
  <si>
    <t>EPAM</t>
  </si>
  <si>
    <t>Paycom Software, Inc.</t>
  </si>
  <si>
    <t>PAYC</t>
  </si>
  <si>
    <t>Dayforce, Inc.</t>
  </si>
  <si>
    <t>DAY</t>
  </si>
  <si>
    <t>Match Group, Inc</t>
  </si>
  <si>
    <t>MTCH</t>
  </si>
  <si>
    <t>Intuit Inc</t>
  </si>
  <si>
    <t>INTU</t>
  </si>
  <si>
    <t>Fidelity National Information Services, Inc.</t>
  </si>
  <si>
    <t>FIS</t>
  </si>
  <si>
    <t>IONQ Inc</t>
  </si>
  <si>
    <t>IONQ</t>
  </si>
  <si>
    <t>Module code standard</t>
  </si>
  <si>
    <t>Option Explicit</t>
  </si>
  <si>
    <t>Dim NextRun As Date  ' Module-level variable for scheduling</t>
  </si>
  <si>
    <t>Sub ColorTreeMapBoxes_AGNA_Revised()</t>
  </si>
  <si>
    <t xml:space="preserve">    Dim sht As Worksheet</t>
  </si>
  <si>
    <t xml:space="preserve">    Dim chtObj As ChartObject</t>
  </si>
  <si>
    <t xml:space="preserve">    Dim cht As Chart</t>
  </si>
  <si>
    <t xml:space="preserve">    Dim srs As Series</t>
  </si>
  <si>
    <t xml:space="preserve">    Dim pt As Point</t>
  </si>
  <si>
    <t xml:space="preserve">    Dim pctChange As Double</t>
  </si>
  <si>
    <t xml:space="preserve">    Dim sectorName As String</t>
  </si>
  <si>
    <t xml:space="preserve">    Dim i As Long, dataRow As Long</t>
  </si>
  <si>
    <t xml:space="preserve">    Dim companyName As String</t>
  </si>
  <si>
    <t xml:space="preserve">    ' Set the worksheet</t>
  </si>
  <si>
    <t xml:space="preserve">    Set sht = ThisWorkbook.Sheets("Market_Data")</t>
  </si>
  <si>
    <t xml:space="preserve">    ' Loop through each ChartObject</t>
  </si>
  <si>
    <t xml:space="preserve">    For Each chtObj In sht.ChartObjects</t>
  </si>
  <si>
    <t xml:space="preserve">        Set cht = chtObj.Chart</t>
  </si>
  <si>
    <t xml:space="preserve">        If cht.ChartType = xlTreemap Then</t>
  </si>
  <si>
    <t xml:space="preserve">            sectorName = cht.ChartTitle.Text</t>
  </si>
  <si>
    <t xml:space="preserve">            Set srs = cht.SeriesCollection(1)</t>
  </si>
  <si>
    <t xml:space="preserve">            For i = 1 To srs.Points.Count</t>
  </si>
  <si>
    <t xml:space="preserve">                Set pt = srs.Points(i)</t>
  </si>
  <si>
    <t xml:space="preserve">                On Error Resume Next</t>
  </si>
  <si>
    <t xml:space="preserve">                companyName = pt.DataLabel.Text</t>
  </si>
  <si>
    <t xml:space="preserve">                On Error GoTo 0</t>
  </si>
  <si>
    <t xml:space="preserve">                If companyName &lt;&gt; "" Then</t>
  </si>
  <si>
    <t xml:space="preserve">                    For dataRow = 2 To sht.Cells(Rows.Count, "C").End(xlUp).Row</t>
  </si>
  <si>
    <t xml:space="preserve">                        If sht.Cells(dataRow, "C").Value = sectorName And sht.Cells(dataRow, "A").Value = companyName Then</t>
  </si>
  <si>
    <t xml:space="preserve">                            If IsNumeric(sht.Cells(dataRow, "F").Value) Then</t>
  </si>
  <si>
    <t xml:space="preserve">                                pctChange = sht.Cells(dataRow, "F").Value</t>
  </si>
  <si>
    <t xml:space="preserve">                                Select Case pctChange</t>
  </si>
  <si>
    <t xml:space="preserve">                                    Case Is &lt; -0.05</t>
  </si>
  <si>
    <t xml:space="preserve">                                        pt.Format.Fill.ForeColor.RGB = RGB(255, 0, 0)</t>
  </si>
  <si>
    <t xml:space="preserve">                                    Case -0.05 To -0.02</t>
  </si>
  <si>
    <t xml:space="preserve">                                        pt.Format.Fill.ForeColor.RGB = RGB(200, 50, 50)</t>
  </si>
  <si>
    <t xml:space="preserve">                                    Case -0.02 To 0</t>
  </si>
  <si>
    <t xml:space="preserve">                                        pt.Format.Fill.ForeColor.RGB = RGB(150, 0, 0)</t>
  </si>
  <si>
    <t xml:space="preserve">                                    Case 0 To 0.02</t>
  </si>
  <si>
    <t xml:space="preserve">                                        pt.Format.Fill.ForeColor.RGB = RGB(0, 150, 0)</t>
  </si>
  <si>
    <t xml:space="preserve">                                    Case 0.02 To 0.05</t>
  </si>
  <si>
    <t xml:space="preserve">                                        pt.Format.Fill.ForeColor.RGB = RGB(50, 200, 50)</t>
  </si>
  <si>
    <t xml:space="preserve">                                    Case Is &gt; 0.05</t>
  </si>
  <si>
    <t xml:space="preserve">                                        pt.Format.Fill.ForeColor.RGB = RGB(0, 255, 0)</t>
  </si>
  <si>
    <t xml:space="preserve">                                End Select</t>
  </si>
  <si>
    <t xml:space="preserve">                                Exit For</t>
  </si>
  <si>
    <t xml:space="preserve">                            Else</t>
  </si>
  <si>
    <t xml:space="preserve">                                Debug.Print "Skipping row " &amp; dataRow &amp; " (non-numeric %)."</t>
  </si>
  <si>
    <t xml:space="preserve">                            End If</t>
  </si>
  <si>
    <t xml:space="preserve">                        End If</t>
  </si>
  <si>
    <t xml:space="preserve">                    Next dataRow</t>
  </si>
  <si>
    <t xml:space="preserve">                Else</t>
  </si>
  <si>
    <t xml:space="preserve">                    Debug.Print "Missing company name for point " &amp; i &amp; " in " &amp; sectorName</t>
  </si>
  <si>
    <t xml:space="preserve">                End If</t>
  </si>
  <si>
    <t xml:space="preserve">            Next i</t>
  </si>
  <si>
    <t xml:space="preserve">        End If</t>
  </si>
  <si>
    <t xml:space="preserve">    Next chtObj</t>
  </si>
  <si>
    <t xml:space="preserve">    Debug.Print "Update completed at " &amp; Now</t>
  </si>
  <si>
    <t xml:space="preserve">    ScheduleNextRun  ' &lt;-- Critical automation line added here</t>
  </si>
  <si>
    <t>End Sub</t>
  </si>
  <si>
    <t>Sub ScheduleNextRun()</t>
  </si>
  <si>
    <t xml:space="preserve">    NextRun = Now + TimeValue("00:05:00")  ' Updates every 5 minutes</t>
  </si>
  <si>
    <t xml:space="preserve">    Application.OnTime NextRun, "ColorTreeMapBoxes_AGNA_Revised"</t>
  </si>
  <si>
    <t>Sub StopAutomation()</t>
  </si>
  <si>
    <t xml:space="preserve">    On Error Resume Next</t>
  </si>
  <si>
    <t xml:space="preserve">    Application.OnTime NextRun, "ColorTreeMapBoxes_AGNA_Revised", , False</t>
  </si>
  <si>
    <t xml:space="preserve">    On Error GoTo 0</t>
  </si>
  <si>
    <t xml:space="preserve">    Debug.Print "Automation stopped at " &amp; Now</t>
  </si>
  <si>
    <t xml:space="preserve">Paste this to this workbook code </t>
  </si>
  <si>
    <t>Private Sub Workbook_Open()</t>
  </si>
  <si>
    <t xml:space="preserve">    ColorTreeMapBoxes_AGNA_Revised  ' Starts automation when file opens</t>
  </si>
  <si>
    <t>Quantum Technologies</t>
  </si>
  <si>
    <t>Rigetti Computing Inc</t>
  </si>
  <si>
    <t>RGTI</t>
  </si>
  <si>
    <t>Quantum Computing Inc</t>
  </si>
  <si>
    <t>QUBT</t>
  </si>
  <si>
    <t>ANGLOGOLD ASHANTI (PTY) LTD</t>
  </si>
  <si>
    <t xml:space="preserve">NEWMONT CORPORATION </t>
  </si>
  <si>
    <t>AGNICO EAGLE MINES LIMITED</t>
  </si>
  <si>
    <t>ROYAL GOLD, INC.</t>
  </si>
  <si>
    <t>Gold and Mining</t>
  </si>
  <si>
    <t>SEABRIDGE GOLD INC</t>
  </si>
  <si>
    <t>CALEDONIA MINING CORPORATION PLC</t>
  </si>
  <si>
    <t>US Gold Corp</t>
  </si>
  <si>
    <t>Quantum</t>
  </si>
  <si>
    <t>Next Report Day</t>
  </si>
  <si>
    <t>Instrument type</t>
  </si>
  <si>
    <t>Nuclear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</si>
</sst>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409]* #,##0.00_);_([$$-409]* \(#,##0.00\);_([$$-409]* &quot;-&quot;??_);_(@_)"/>
    <numFmt numFmtId="165" formatCode="_([$$-409]* #,##0_);_([$$-409]* \(#,##0\);_([$$-409]* &quot;-&quot;_);_(@_)"/>
    <numFmt numFmtId="166" formatCode="_-[$$-C09]* #,##0_-;\-[$$-C09]* #,##0_-;_-[$$-C09]* &quot;-&quot;_-;_-@_-"/>
    <numFmt numFmtId="167" formatCode="_-[$$-1009]* #,##0_-;\-[$$-1009]* #,##0_-;_-[$$-1009]* &quot;-&quot;_-;_-@_-"/>
    <numFmt numFmtId="168" formatCode="_-[$$-1009]* #,##0.00_-;\-[$$-1009]* #,##0.00_-;_-[$$-1009]* &quot;-&quot;??_-;_-@_-"/>
  </numFmts>
  <fonts count="8" x14ac:knownFonts="1">
    <font>
      <sz val="11"/>
      <color theme="1"/>
      <name val="Calibri"/>
      <family val="2"/>
      <scheme val="minor"/>
    </font>
    <font>
      <b/>
      <sz val="11"/>
      <color theme="1"/>
      <name val="Calibri"/>
      <family val="2"/>
      <scheme val="minor"/>
    </font>
    <font>
      <sz val="14"/>
      <color rgb="FF595959"/>
      <name val="Calibri"/>
      <family val="2"/>
      <scheme val="minor"/>
    </font>
    <font>
      <b/>
      <sz val="14"/>
      <color rgb="FF595959"/>
      <name val="Calibri"/>
      <family val="2"/>
      <scheme val="minor"/>
    </font>
    <font>
      <sz val="11"/>
      <color theme="3" tint="-0.499984740745262"/>
      <name val="Calibri"/>
      <family val="2"/>
      <scheme val="minor"/>
    </font>
    <font>
      <sz val="11"/>
      <color theme="1"/>
      <name val="Calibri"/>
      <family val="2"/>
      <scheme val="minor"/>
    </font>
    <font>
      <sz val="16"/>
      <color theme="0"/>
      <name val="Calibri"/>
      <family val="2"/>
      <scheme val="minor"/>
    </font>
    <font>
      <b/>
      <sz val="16"/>
      <color rgb="FF68F2EB"/>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rgb="FF0D1629"/>
        <bgColor indexed="64"/>
      </patternFill>
    </fill>
    <fill>
      <patternFill patternType="solid">
        <fgColor rgb="FF4FD1FF"/>
        <bgColor indexed="64"/>
      </patternFill>
    </fill>
  </fills>
  <borders count="2">
    <border>
      <left/>
      <right/>
      <top/>
      <bottom/>
      <diagonal/>
    </border>
    <border>
      <left/>
      <right style="thick">
        <color auto="1"/>
      </right>
      <top/>
      <bottom/>
      <diagonal/>
    </border>
  </borders>
  <cellStyleXfs count="2">
    <xf numFmtId="0" fontId="0" fillId="0" borderId="0"/>
    <xf numFmtId="9" fontId="5" fillId="0" borderId="0" applyFont="0" applyFill="0" applyBorder="0" applyAlignment="0" applyProtection="0"/>
  </cellStyleXfs>
  <cellXfs count="25">
    <xf numFmtId="0" fontId="0" fillId="0" borderId="0" xfId="0"/>
    <xf numFmtId="10" fontId="0" fillId="0" borderId="0" xfId="0" applyNumberFormat="1"/>
    <xf numFmtId="164" fontId="0" fillId="0" borderId="0" xfId="0" applyNumberFormat="1"/>
    <xf numFmtId="165" fontId="0" fillId="0" borderId="0" xfId="0" applyNumberFormat="1"/>
    <xf numFmtId="166" fontId="0" fillId="0" borderId="0" xfId="0" applyNumberFormat="1"/>
    <xf numFmtId="0" fontId="1" fillId="0" borderId="0" xfId="0" applyFont="1" applyAlignment="1">
      <alignment horizontal="center"/>
    </xf>
    <xf numFmtId="0" fontId="2" fillId="0" borderId="0" xfId="0" applyFont="1" applyAlignment="1">
      <alignment horizontal="center" vertical="center" readingOrder="1"/>
    </xf>
    <xf numFmtId="0" fontId="3" fillId="0" borderId="0" xfId="0" applyFont="1" applyAlignment="1">
      <alignment horizontal="center" vertical="center" readingOrder="1"/>
    </xf>
    <xf numFmtId="0" fontId="0" fillId="0" borderId="1" xfId="0" applyBorder="1"/>
    <xf numFmtId="10" fontId="0" fillId="0" borderId="0" xfId="1" applyNumberFormat="1" applyFont="1"/>
    <xf numFmtId="0" fontId="4" fillId="2" borderId="0" xfId="0" applyFont="1" applyFill="1"/>
    <xf numFmtId="0" fontId="6" fillId="3" borderId="0" xfId="0" applyFont="1" applyFill="1"/>
    <xf numFmtId="0" fontId="1" fillId="0" borderId="0" xfId="0" applyFont="1"/>
    <xf numFmtId="0" fontId="6" fillId="3" borderId="0" xfId="0" applyFont="1" applyFill="1" applyAlignment="1">
      <alignment horizontal="left"/>
    </xf>
    <xf numFmtId="10" fontId="6" fillId="3" borderId="0" xfId="0" applyNumberFormat="1" applyFont="1" applyFill="1" applyAlignment="1">
      <alignment horizontal="center"/>
    </xf>
    <xf numFmtId="4" fontId="6" fillId="3" borderId="0" xfId="0" applyNumberFormat="1" applyFont="1" applyFill="1" applyAlignment="1">
      <alignment horizontal="center"/>
    </xf>
    <xf numFmtId="3" fontId="6" fillId="3" borderId="0" xfId="0" applyNumberFormat="1" applyFont="1" applyFill="1" applyAlignment="1">
      <alignment horizontal="center"/>
    </xf>
    <xf numFmtId="165" fontId="6" fillId="3" borderId="0" xfId="0" applyNumberFormat="1" applyFont="1" applyFill="1" applyAlignment="1">
      <alignment horizontal="center"/>
    </xf>
    <xf numFmtId="0" fontId="6" fillId="3" borderId="0" xfId="0" applyFont="1" applyFill="1" applyAlignment="1">
      <alignment horizontal="center"/>
    </xf>
    <xf numFmtId="167" fontId="6" fillId="3" borderId="0" xfId="0" applyNumberFormat="1" applyFont="1" applyFill="1" applyAlignment="1">
      <alignment horizontal="center"/>
    </xf>
    <xf numFmtId="164" fontId="6" fillId="3" borderId="0" xfId="0" applyNumberFormat="1" applyFont="1" applyFill="1" applyAlignment="1">
      <alignment horizontal="left"/>
    </xf>
    <xf numFmtId="168" fontId="6" fillId="3" borderId="0" xfId="0" applyNumberFormat="1" applyFont="1" applyFill="1" applyAlignment="1">
      <alignment horizontal="left"/>
    </xf>
    <xf numFmtId="0" fontId="7" fillId="3" borderId="0" xfId="0" applyFont="1" applyFill="1"/>
    <xf numFmtId="14" fontId="6" fillId="3" borderId="0" xfId="0" applyNumberFormat="1" applyFont="1" applyFill="1" applyAlignment="1">
      <alignment horizontal="left"/>
    </xf>
    <xf numFmtId="14" fontId="6" fillId="4" borderId="0" xfId="0" applyNumberFormat="1" applyFont="1" applyFill="1" applyAlignment="1">
      <alignment horizontal="left"/>
    </xf>
  </cellXfs>
  <cellStyles count="2">
    <cellStyle name="Normal" xfId="0" builtinId="0"/>
    <cellStyle name="Percent" xfId="1" builtinId="5"/>
  </cellStyles>
  <dxfs count="21">
    <dxf>
      <font>
        <sz val="16"/>
        <color theme="0"/>
      </font>
      <fill>
        <patternFill patternType="solid">
          <fgColor indexed="64"/>
          <bgColor rgb="FF0D1629"/>
        </patternFill>
      </fill>
      <alignment horizontal="left" vertical="bottom" textRotation="0" wrapText="0" indent="0" justifyLastLine="0" shrinkToFit="0" readingOrder="0"/>
    </dxf>
    <dxf>
      <font>
        <sz val="16"/>
        <color theme="0"/>
      </font>
      <numFmt numFmtId="164" formatCode="_([$$-409]* #,##0.00_);_([$$-409]* \(#,##0.00\);_([$$-409]* &quot;-&quot;??_);_(@_)"/>
      <fill>
        <patternFill patternType="solid">
          <fgColor indexed="64"/>
          <bgColor rgb="FF0D1629"/>
        </patternFill>
      </fill>
      <alignment horizontal="left"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numFmt numFmtId="165" formatCode="_([$$-409]* #,##0_);_([$$-409]* \(#,##0\);_([$$-409]* &quot;-&quot;_);_(@_)"/>
      <fill>
        <patternFill patternType="solid">
          <fgColor indexed="64"/>
          <bgColor rgb="FF0D1629"/>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numFmt numFmtId="3" formatCode="#,##0"/>
      <fill>
        <patternFill patternType="solid">
          <fgColor indexed="64"/>
          <bgColor rgb="FF0D1629"/>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numFmt numFmtId="3" formatCode="#,##0"/>
      <fill>
        <patternFill patternType="solid">
          <fgColor indexed="64"/>
          <bgColor rgb="FF0D1629"/>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numFmt numFmtId="4" formatCode="#,##0.00"/>
      <fill>
        <patternFill patternType="solid">
          <fgColor indexed="64"/>
          <bgColor rgb="FF0D1629"/>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D1629"/>
        </patternFill>
      </fill>
      <alignment horizontal="left"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numFmt numFmtId="4" formatCode="#,##0.00"/>
      <fill>
        <patternFill patternType="solid">
          <fgColor indexed="64"/>
          <bgColor rgb="FF0D1629"/>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numFmt numFmtId="14" formatCode="0.00%"/>
      <fill>
        <patternFill patternType="solid">
          <fgColor indexed="64"/>
          <bgColor rgb="FF0D1629"/>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D1629"/>
        </patternFill>
      </fill>
      <alignment horizontal="left" vertical="bottom" textRotation="0" wrapText="0"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D1629"/>
        </patternFill>
      </fill>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6"/>
        <color rgb="FF68F2EB"/>
        <name val="Calibri"/>
        <family val="2"/>
        <scheme val="minor"/>
      </font>
      <fill>
        <patternFill patternType="solid">
          <fgColor indexed="64"/>
          <bgColor rgb="FF0D1629"/>
        </patternFill>
      </fill>
    </dxf>
    <dxf>
      <font>
        <color rgb="FF68F2EB"/>
      </font>
    </dxf>
    <dxf>
      <font>
        <color theme="0"/>
      </font>
      <fill>
        <patternFill>
          <bgColor rgb="FFC00000"/>
        </patternFill>
      </fill>
    </dxf>
    <dxf>
      <font>
        <color theme="0"/>
      </font>
      <fill>
        <patternFill>
          <bgColor rgb="FF15FF58"/>
        </patternFill>
      </fill>
    </dxf>
    <dxf>
      <font>
        <color theme="0"/>
      </font>
      <fill>
        <patternFill>
          <bgColor rgb="FF05D200"/>
        </patternFill>
      </fill>
    </dxf>
    <dxf>
      <fill>
        <patternFill>
          <bgColor rgb="FF009E0F"/>
        </patternFill>
      </fill>
    </dxf>
    <dxf>
      <font>
        <color theme="0"/>
      </font>
      <fill>
        <patternFill>
          <bgColor rgb="FFFF0000"/>
        </patternFill>
      </fill>
    </dxf>
    <dxf>
      <fill>
        <patternFill>
          <bgColor rgb="FFFF6969"/>
        </patternFill>
      </fill>
    </dxf>
    <dxf>
      <fill>
        <patternFill>
          <bgColor rgb="FFC00000"/>
        </patternFill>
      </fill>
    </dxf>
  </dxfs>
  <tableStyles count="0" defaultTableStyle="TableStyleMedium2" defaultPivotStyle="PivotStyleLight16"/>
  <colors>
    <mruColors>
      <color rgb="FF68F2EB"/>
      <color rgb="FF009E0F"/>
      <color rgb="FF05D200"/>
      <color rgb="FF05DE00"/>
      <color rgb="FF15FF58"/>
      <color rgb="FF2FBBE1"/>
      <color rgb="FF0094C8"/>
      <color rgb="FF4FD1FF"/>
      <color rgb="FFC9F1FF"/>
      <color rgb="FF97E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title pos="t" align="ctr" overlay="0">
      <cx:tx>
        <cx:txData>
          <cx:v>Computers, Phones &amp; Household Electronics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Computers, Phones &amp; Household Electronics</a:t>
          </a:r>
        </a:p>
      </cx:txPr>
    </cx:title>
    <cx:plotArea>
      <cx:plotAreaRegion>
        <cx:series layoutId="treemap" uniqueId="{56183BE1-A92F-440E-8E1D-71CE83E1FC23}">
          <cx:dataPt idx="0">
            <cx:spPr>
              <a:solidFill>
                <a:srgbClr val="C83232"/>
              </a:solidFill>
            </cx:spPr>
          </cx:dataPt>
          <cx:dataPt idx="1">
            <cx:spPr>
              <a:solidFill>
                <a:srgbClr val="C83232"/>
              </a:solidFill>
            </cx:spPr>
          </cx:dataPt>
          <cx:dataPt idx="2">
            <cx:spPr>
              <a:solidFill>
                <a:srgbClr val="009600"/>
              </a:solidFill>
            </cx:spPr>
          </cx:dataPt>
          <cx:dataPt idx="3">
            <cx:spPr>
              <a:solidFill>
                <a:srgbClr val="009600"/>
              </a:solidFill>
            </cx:spPr>
          </cx:dataPt>
          <cx:dataPt idx="4">
            <cx:spPr>
              <a:solidFill>
                <a:srgbClr val="009600"/>
              </a:solidFill>
            </cx:spPr>
          </cx:dataPt>
          <cx:dataPt idx="5">
            <cx:spPr>
              <a:solidFill>
                <a:srgbClr val="009600"/>
              </a:solidFill>
            </cx:spPr>
          </cx:dataPt>
          <cx:dataPt idx="6">
            <cx:spPr>
              <a:solidFill>
                <a:srgbClr val="009600"/>
              </a:solidFill>
            </cx:spPr>
          </cx:dataPt>
          <cx:dataPt idx="7">
            <cx:spPr>
              <a:solidFill>
                <a:srgbClr val="009600"/>
              </a:solidFill>
            </cx:spPr>
          </cx:dataPt>
          <cx:dataPt idx="8">
            <cx:spPr>
              <a:solidFill>
                <a:srgbClr val="0096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 idx="0">
              <cx:txPr>
                <a:bodyPr vertOverflow="overflow" horzOverflow="overflow" wrap="square" lIns="0" tIns="0" rIns="0" bIns="0"/>
                <a:lstStyle/>
                <a:p>
                  <a:pPr algn="ctr" rtl="0">
                    <a:defRPr sz="13800">
                      <a:solidFill>
                        <a:schemeClr val="bg1"/>
                      </a:solidFill>
                    </a:defRPr>
                  </a:pPr>
                  <a:r>
                    <a:rPr sz="13800">
                      <a:solidFill>
                        <a:schemeClr val="bg1"/>
                      </a:solidFill>
                    </a:rPr>
                    <a:t>Apple Inc.</a:t>
                  </a:r>
                </a:p>
              </cx:txPr>
            </cx:dataLabel>
            <cx:dataLabel idx="2">
              <cx:txPr>
                <a:bodyPr vertOverflow="overflow" horzOverflow="overflow" wrap="square" lIns="0" tIns="0" rIns="0" bIns="0"/>
                <a:lstStyle/>
                <a:p>
                  <a:pPr algn="ctr" rtl="0">
                    <a:defRPr sz="1800">
                      <a:solidFill>
                        <a:schemeClr val="bg1"/>
                      </a:solidFill>
                    </a:defRPr>
                  </a:pPr>
                  <a:r>
                    <a:rPr sz="1800">
                      <a:solidFill>
                        <a:schemeClr val="bg1"/>
                      </a:solidFill>
                    </a:rPr>
                    <a:t>Dell Technologies Inc.</a:t>
                  </a:r>
                </a:p>
              </cx:txPr>
            </cx:dataLabel>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title pos="t" align="ctr" overlay="0">
      <cx:tx>
        <cx:rich>
          <a:bodyPr spcFirstLastPara="1" vertOverflow="ellipsis" horzOverflow="overflow" wrap="square" lIns="0" tIns="0" rIns="0" bIns="0" anchor="ctr" anchorCtr="1"/>
          <a:lstStyle/>
          <a:p>
            <a:pPr algn="ctr" rtl="0">
              <a:defRPr/>
            </a:pPr>
            <a:r>
              <a:rPr lang="en-CA"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Consumer Goods Conglomerates</a:t>
            </a:r>
            <a:r>
              <a:rPr lang="en-CA"/>
              <a:t> </a:t>
            </a:r>
            <a:endParaRPr lang="en-US" sz="1400" b="0" i="0" u="none" strike="noStrike" baseline="0">
              <a:solidFill>
                <a:sysClr val="windowText" lastClr="000000">
                  <a:lumMod val="65000"/>
                  <a:lumOff val="35000"/>
                </a:sysClr>
              </a:solidFill>
              <a:latin typeface="Calibri" panose="020F0502020204030204"/>
            </a:endParaRPr>
          </a:p>
        </cx:rich>
      </cx:tx>
    </cx:title>
    <cx:plotArea>
      <cx:plotAreaRegion>
        <cx:series layoutId="treemap" uniqueId="{431B5420-ECA0-49C4-AB8D-BC152D29C1E9}">
          <cx:dataPt idx="0">
            <cx:spPr>
              <a:solidFill>
                <a:srgbClr val="009600"/>
              </a:solidFill>
            </cx:spPr>
          </cx:dataPt>
          <cx:dataPt idx="1">
            <cx:spPr>
              <a:solidFill>
                <a:srgbClr val="960000"/>
              </a:solidFill>
            </cx:spPr>
          </cx:dataPt>
          <cx:dataPt idx="2">
            <cx:spPr>
              <a:solidFill>
                <a:srgbClr val="960000"/>
              </a:solidFill>
            </cx:spPr>
          </cx:dataPt>
          <cx:dataPt idx="3">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size">
        <cx:f>_xlchart.v1.13</cx:f>
      </cx:numDim>
    </cx:data>
  </cx:chartData>
  <cx:chart>
    <cx:title pos="t" align="ctr" overlay="0">
      <cx:tx>
        <cx:txData>
          <cx:v>Retail</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Retail</a:t>
          </a:r>
        </a:p>
      </cx:txPr>
    </cx:title>
    <cx:plotArea>
      <cx:plotAreaRegion>
        <cx:series layoutId="treemap" uniqueId="{ADCC9614-A75A-4240-86D4-B48CF4FA9035}">
          <cx:dataPt idx="0">
            <cx:spPr>
              <a:solidFill>
                <a:srgbClr val="960000"/>
              </a:solidFill>
            </cx:spPr>
          </cx:dataPt>
          <cx:dataPt idx="1">
            <cx:spPr>
              <a:solidFill>
                <a:srgbClr val="960000"/>
              </a:solidFill>
            </cx:spPr>
          </cx:dataPt>
          <cx:dataPt idx="2">
            <cx:spPr>
              <a:solidFill>
                <a:srgbClr val="C83232"/>
              </a:solidFill>
            </cx:spPr>
          </cx:dataPt>
          <cx:dataPt idx="3">
            <cx:spPr>
              <a:solidFill>
                <a:srgbClr val="960000"/>
              </a:solidFill>
            </cx:spPr>
          </cx:dataPt>
          <cx:dataPt idx="4">
            <cx:spPr>
              <a:solidFill>
                <a:srgbClr val="009600"/>
              </a:solidFill>
            </cx:spPr>
          </cx:dataPt>
          <cx:dataPt idx="5">
            <cx:spPr>
              <a:solidFill>
                <a:srgbClr val="C83232"/>
              </a:solidFill>
            </cx:spPr>
          </cx:dataPt>
          <cx:dataPt idx="6">
            <cx:spPr>
              <a:solidFill>
                <a:srgbClr val="009600"/>
              </a:solidFill>
            </cx:spPr>
          </cx:dataPt>
          <cx:dataPt idx="7">
            <cx:spPr>
              <a:solidFill>
                <a:srgbClr val="009600"/>
              </a:solidFill>
            </cx:spPr>
          </cx:dataPt>
          <cx:dataPt idx="8">
            <cx:spPr>
              <a:solidFill>
                <a:srgbClr val="960000"/>
              </a:solidFill>
            </cx:spPr>
          </cx:dataPt>
          <cx:dataPt idx="9">
            <cx:spPr>
              <a:solidFill>
                <a:srgbClr val="960000"/>
              </a:solidFill>
            </cx:spPr>
          </cx:dataPt>
          <cx:dataPt idx="10">
            <cx:spPr>
              <a:solidFill>
                <a:srgbClr val="960000"/>
              </a:solidFill>
            </cx:spPr>
          </cx:dataPt>
          <cx:dataPt idx="11">
            <cx:spPr>
              <a:solidFill>
                <a:srgbClr val="960000"/>
              </a:solidFill>
            </cx:spPr>
          </cx:dataPt>
          <cx:dataPt idx="12">
            <cx:spPr>
              <a:solidFill>
                <a:srgbClr val="009600"/>
              </a:solidFill>
            </cx:spPr>
          </cx:dataPt>
          <cx:dataPt idx="13">
            <cx:spPr>
              <a:solidFill>
                <a:srgbClr val="960000"/>
              </a:solidFill>
            </cx:spPr>
          </cx:dataPt>
          <cx:dataPt idx="14">
            <cx:spPr>
              <a:solidFill>
                <a:srgbClr val="FF0000"/>
              </a:solidFill>
            </cx:spPr>
          </cx:dataPt>
          <cx:dataPt idx="15">
            <cx:spPr>
              <a:solidFill>
                <a:srgbClr val="009600"/>
              </a:solidFill>
            </cx:spPr>
          </cx:dataPt>
          <cx:dataPt idx="16">
            <cx:spPr>
              <a:solidFill>
                <a:srgbClr val="960000"/>
              </a:solidFill>
            </cx:spPr>
          </cx:dataPt>
          <cx:dataPt idx="17">
            <cx:spPr>
              <a:solidFill>
                <a:srgbClr val="C83232"/>
              </a:solidFill>
            </cx:spPr>
          </cx:dataPt>
          <cx:dataPt idx="18">
            <cx:spPr>
              <a:solidFill>
                <a:srgbClr val="960000"/>
              </a:solidFill>
            </cx:spPr>
          </cx:dataPt>
          <cx:dataPt idx="19">
            <cx:spPr>
              <a:solidFill>
                <a:srgbClr val="960000"/>
              </a:solidFill>
            </cx:spPr>
          </cx:dataPt>
          <cx:dataPt idx="20">
            <cx:spPr>
              <a:solidFill>
                <a:srgbClr val="960000"/>
              </a:solidFill>
            </cx:spPr>
          </cx:dataPt>
          <cx:dataPt idx="21">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_xlchart.v1.17</cx:f>
      </cx:numDim>
    </cx:data>
  </cx:chartData>
  <cx:chart>
    <cx:title pos="t" align="ctr" overlay="0">
      <cx:tx>
        <cx:txData>
          <cx:v>Healthcare Services &amp; equipment</cx:v>
        </cx:txData>
      </cx:tx>
      <cx:txPr>
        <a:bodyPr spcFirstLastPara="1" vertOverflow="ellipsis" horzOverflow="overflow" wrap="square" lIns="0" tIns="0" rIns="0" bIns="0" anchor="ctr" anchorCtr="1"/>
        <a:lstStyle/>
        <a:p>
          <a:pPr algn="ctr" rtl="0">
            <a:defRPr b="0"/>
          </a:pPr>
          <a:r>
            <a:rPr lang="en-US" sz="1400" b="0" i="0" u="none" strike="noStrike" baseline="0">
              <a:solidFill>
                <a:sysClr val="windowText" lastClr="000000">
                  <a:lumMod val="65000"/>
                  <a:lumOff val="35000"/>
                </a:sysClr>
              </a:solidFill>
              <a:latin typeface="Calibri" panose="020F0502020204030204"/>
            </a:rPr>
            <a:t>Healthcare Services &amp; equipment</a:t>
          </a:r>
        </a:p>
      </cx:txPr>
    </cx:title>
    <cx:plotArea>
      <cx:plotAreaRegion>
        <cx:series layoutId="treemap" uniqueId="{9110251E-7C20-4636-A463-8B12891ABBB5}">
          <cx:dataPt idx="0">
            <cx:spPr>
              <a:solidFill>
                <a:srgbClr val="9600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960000"/>
              </a:solidFill>
            </cx:spPr>
          </cx:dataPt>
          <cx:dataPt idx="5">
            <cx:spPr>
              <a:solidFill>
                <a:srgbClr val="960000"/>
              </a:solidFill>
            </cx:spPr>
          </cx:dataPt>
          <cx:dataPt idx="6">
            <cx:spPr>
              <a:solidFill>
                <a:srgbClr val="960000"/>
              </a:solidFill>
            </cx:spPr>
          </cx:dataPt>
          <cx:dataPt idx="7">
            <cx:spPr>
              <a:solidFill>
                <a:srgbClr val="960000"/>
              </a:solidFill>
            </cx:spPr>
          </cx:dataPt>
          <cx:dataPt idx="8">
            <cx:spPr>
              <a:solidFill>
                <a:srgbClr val="C83232"/>
              </a:solidFill>
            </cx:spPr>
          </cx:dataPt>
          <cx:dataPt idx="9">
            <cx:spPr>
              <a:solidFill>
                <a:srgbClr val="009600"/>
              </a:solidFill>
            </cx:spPr>
          </cx:dataPt>
          <cx:dataPt idx="10">
            <cx:spPr>
              <a:solidFill>
                <a:srgbClr val="009600"/>
              </a:solidFill>
            </cx:spPr>
          </cx:dataPt>
          <cx:dataPt idx="11">
            <cx:spPr>
              <a:solidFill>
                <a:srgbClr val="960000"/>
              </a:solidFill>
            </cx:spPr>
          </cx:dataPt>
          <cx:dataPt idx="12">
            <cx:spPr>
              <a:solidFill>
                <a:srgbClr val="960000"/>
              </a:solidFill>
            </cx:spPr>
          </cx:dataPt>
          <cx:dataPt idx="13">
            <cx:spPr>
              <a:solidFill>
                <a:srgbClr val="009600"/>
              </a:solidFill>
            </cx:spPr>
          </cx:dataPt>
          <cx:dataPt idx="14">
            <cx:spPr>
              <a:solidFill>
                <a:srgbClr val="009600"/>
              </a:solidFill>
            </cx:spPr>
          </cx:dataPt>
          <cx:dataPt idx="15">
            <cx:spPr>
              <a:solidFill>
                <a:srgbClr val="960000"/>
              </a:solidFill>
            </cx:spPr>
          </cx:dataPt>
          <cx:dataPt idx="16">
            <cx:spPr>
              <a:solidFill>
                <a:srgbClr val="960000"/>
              </a:solidFill>
            </cx:spPr>
          </cx:dataPt>
          <cx:dataPt idx="17">
            <cx:spPr>
              <a:solidFill>
                <a:srgbClr val="960000"/>
              </a:solidFill>
            </cx:spPr>
          </cx:dataPt>
          <cx:dataPt idx="18">
            <cx:spPr>
              <a:solidFill>
                <a:srgbClr val="960000"/>
              </a:solidFill>
            </cx:spPr>
          </cx:dataPt>
          <cx:dataPt idx="19">
            <cx:spPr>
              <a:solidFill>
                <a:srgbClr val="960000"/>
              </a:solidFill>
            </cx:spPr>
          </cx:dataPt>
          <cx:dataPt idx="20">
            <cx:spPr>
              <a:solidFill>
                <a:srgbClr val="960000"/>
              </a:solidFill>
            </cx:spPr>
          </cx:dataPt>
          <cx:dataPt idx="21">
            <cx:spPr>
              <a:solidFill>
                <a:srgbClr val="C83232"/>
              </a:solidFill>
            </cx:spPr>
          </cx:dataPt>
          <cx:dataPt idx="22">
            <cx:spPr>
              <a:solidFill>
                <a:srgbClr val="960000"/>
              </a:solidFill>
            </cx:spPr>
          </cx:dataPt>
          <cx:dataPt idx="23">
            <cx:spPr>
              <a:solidFill>
                <a:srgbClr val="960000"/>
              </a:solidFill>
            </cx:spPr>
          </cx:dataPt>
          <cx:dataPt idx="24">
            <cx:spPr>
              <a:solidFill>
                <a:srgbClr val="009600"/>
              </a:solidFill>
            </cx:spPr>
          </cx:dataPt>
          <cx:dataPt idx="25">
            <cx:spPr>
              <a:solidFill>
                <a:srgbClr val="009600"/>
              </a:solidFill>
            </cx:spPr>
          </cx:dataPt>
          <cx:dataPt idx="26">
            <cx:spPr>
              <a:solidFill>
                <a:srgbClr val="009600"/>
              </a:solidFill>
            </cx:spPr>
          </cx:dataPt>
          <cx:dataPt idx="27">
            <cx:spPr>
              <a:solidFill>
                <a:srgbClr val="960000"/>
              </a:solidFill>
            </cx:spPr>
          </cx:dataPt>
          <cx:dataPt idx="28">
            <cx:spPr>
              <a:solidFill>
                <a:srgbClr val="009600"/>
              </a:solidFill>
            </cx:spPr>
          </cx:dataPt>
          <cx:dataPt idx="29">
            <cx:spPr>
              <a:solidFill>
                <a:srgbClr val="960000"/>
              </a:solidFill>
            </cx:spPr>
          </cx:dataPt>
          <cx:dataPt idx="30">
            <cx:spPr>
              <a:solidFill>
                <a:srgbClr val="960000"/>
              </a:solidFill>
            </cx:spPr>
          </cx:dataPt>
          <cx:dataPt idx="31">
            <cx:spPr>
              <a:solidFill>
                <a:srgbClr val="960000"/>
              </a:solidFill>
            </cx:spPr>
          </cx:dataPt>
          <cx:dataPt idx="32">
            <cx:spPr>
              <a:solidFill>
                <a:srgbClr val="960000"/>
              </a:solidFill>
            </cx:spPr>
          </cx:dataPt>
          <cx:dataPt idx="33">
            <cx:spPr>
              <a:solidFill>
                <a:srgbClr val="960000"/>
              </a:solidFill>
            </cx:spPr>
          </cx:dataPt>
          <cx:dataPt idx="34">
            <cx:spPr>
              <a:solidFill>
                <a:srgbClr val="960000"/>
              </a:solidFill>
            </cx:spPr>
          </cx:dataPt>
          <cx:dataPt idx="35">
            <cx:spPr>
              <a:solidFill>
                <a:srgbClr val="C83232"/>
              </a:solidFill>
            </cx:spPr>
          </cx:dataPt>
          <cx:dataPt idx="36">
            <cx:spPr>
              <a:solidFill>
                <a:srgbClr val="960000"/>
              </a:solidFill>
            </cx:spPr>
          </cx:dataPt>
          <cx:dataPt idx="37">
            <cx:spPr>
              <a:solidFill>
                <a:srgbClr val="009600"/>
              </a:solidFill>
            </cx:spPr>
          </cx:dataPt>
          <cx:dataPt idx="38">
            <cx:spPr>
              <a:solidFill>
                <a:srgbClr val="960000"/>
              </a:solidFill>
            </cx:spPr>
          </cx:dataPt>
          <cx:dataPt idx="39">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rich>
          <a:bodyPr spcFirstLastPara="1" vertOverflow="ellipsis" horzOverflow="overflow" wrap="square" lIns="0" tIns="0" rIns="0" bIns="0" anchor="ctr" anchorCtr="1"/>
          <a:lstStyle/>
          <a:p>
            <a:pPr algn="ctr" rtl="0">
              <a:defRPr b="1"/>
            </a:pPr>
            <a:r>
              <a:rPr lang="en-CA"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Software &amp; IT Services</a:t>
            </a:r>
            <a:r>
              <a:rPr lang="en-CA"/>
              <a:t> </a:t>
            </a:r>
            <a:endParaRPr lang="en-US" sz="1400" b="1" i="0" u="none" strike="noStrike" baseline="0">
              <a:solidFill>
                <a:sysClr val="windowText" lastClr="000000">
                  <a:lumMod val="65000"/>
                  <a:lumOff val="35000"/>
                </a:sysClr>
              </a:solidFill>
              <a:latin typeface="Calibri" panose="020F0502020204030204"/>
            </a:endParaRPr>
          </a:p>
        </cx:rich>
      </cx:tx>
    </cx:title>
    <cx:plotArea>
      <cx:plotAreaRegion>
        <cx:series layoutId="treemap" uniqueId="{9B7711E8-F876-45D7-AAFE-CC0FBF8CB81F}">
          <cx:dataPt idx="0">
            <cx:spPr>
              <a:solidFill>
                <a:srgbClr val="9600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960000"/>
              </a:solidFill>
            </cx:spPr>
          </cx:dataPt>
          <cx:dataPt idx="5">
            <cx:spPr>
              <a:solidFill>
                <a:srgbClr val="960000"/>
              </a:solidFill>
            </cx:spPr>
          </cx:dataPt>
          <cx:dataPt idx="6">
            <cx:spPr>
              <a:solidFill>
                <a:srgbClr val="960000"/>
              </a:solidFill>
            </cx:spPr>
          </cx:dataPt>
          <cx:dataPt idx="7">
            <cx:spPr>
              <a:solidFill>
                <a:srgbClr val="C83232"/>
              </a:solidFill>
            </cx:spPr>
          </cx:dataPt>
          <cx:dataPt idx="8">
            <cx:spPr>
              <a:solidFill>
                <a:srgbClr val="960000"/>
              </a:solidFill>
            </cx:spPr>
          </cx:dataPt>
          <cx:dataPt idx="9">
            <cx:spPr>
              <a:solidFill>
                <a:srgbClr val="009600"/>
              </a:solidFill>
            </cx:spPr>
          </cx:dataPt>
          <cx:dataPt idx="10">
            <cx:spPr>
              <a:solidFill>
                <a:srgbClr val="009600"/>
              </a:solidFill>
            </cx:spPr>
          </cx:dataPt>
          <cx:dataPt idx="11">
            <cx:spPr>
              <a:solidFill>
                <a:srgbClr val="960000"/>
              </a:solidFill>
            </cx:spPr>
          </cx:dataPt>
          <cx:dataPt idx="12">
            <cx:spPr>
              <a:solidFill>
                <a:srgbClr val="960000"/>
              </a:solidFill>
            </cx:spPr>
          </cx:dataPt>
          <cx:dataPt idx="13">
            <cx:spPr>
              <a:solidFill>
                <a:srgbClr val="009600"/>
              </a:solidFill>
            </cx:spPr>
          </cx:dataPt>
          <cx:dataPt idx="14">
            <cx:spPr>
              <a:solidFill>
                <a:srgbClr val="960000"/>
              </a:solidFill>
            </cx:spPr>
          </cx:dataPt>
          <cx:dataPt idx="15">
            <cx:spPr>
              <a:solidFill>
                <a:srgbClr val="960000"/>
              </a:solidFill>
            </cx:spPr>
          </cx:dataPt>
          <cx:dataPt idx="16">
            <cx:spPr>
              <a:solidFill>
                <a:srgbClr val="009600"/>
              </a:solidFill>
            </cx:spPr>
          </cx:dataPt>
          <cx:dataPt idx="17">
            <cx:spPr>
              <a:solidFill>
                <a:srgbClr val="32C832"/>
              </a:solidFill>
            </cx:spPr>
          </cx:dataPt>
          <cx:dataPt idx="18">
            <cx:spPr>
              <a:solidFill>
                <a:srgbClr val="960000"/>
              </a:solidFill>
            </cx:spPr>
          </cx:dataPt>
          <cx:dataPt idx="19">
            <cx:spPr>
              <a:solidFill>
                <a:srgbClr val="960000"/>
              </a:solidFill>
            </cx:spPr>
          </cx:dataPt>
          <cx:dataPt idx="20">
            <cx:spPr>
              <a:solidFill>
                <a:srgbClr val="960000"/>
              </a:solidFill>
            </cx:spPr>
          </cx:dataPt>
          <cx:dataPt idx="21">
            <cx:spPr>
              <a:solidFill>
                <a:srgbClr val="960000"/>
              </a:solidFill>
            </cx:spPr>
          </cx:dataPt>
          <cx:dataPt idx="22">
            <cx:spPr>
              <a:solidFill>
                <a:srgbClr val="960000"/>
              </a:solidFill>
            </cx:spPr>
          </cx:dataPt>
          <cx:dataPt idx="23">
            <cx:spPr>
              <a:solidFill>
                <a:srgbClr val="960000"/>
              </a:solidFill>
            </cx:spPr>
          </cx:dataPt>
          <cx:dataPt idx="24">
            <cx:spPr>
              <a:solidFill>
                <a:srgbClr val="FF0000"/>
              </a:solidFill>
            </cx:spPr>
          </cx:dataPt>
          <cx:dataPt idx="25">
            <cx:spPr>
              <a:solidFill>
                <a:srgbClr val="FF0000"/>
              </a:solidFill>
            </cx:spPr>
          </cx:dataPt>
          <cx:dataPt idx="26">
            <cx:spPr>
              <a:solidFill>
                <a:srgbClr val="FF0000"/>
              </a:solidFill>
            </cx:spPr>
          </cx:dataPt>
          <cx:dataPt idx="27">
            <cx:spPr>
              <a:solidFill>
                <a:srgbClr val="FF0000"/>
              </a:solidFill>
            </cx:spPr>
          </cx:dataPt>
          <cx:dataPt idx="28">
            <cx:spPr>
              <a:solidFill>
                <a:srgbClr val="FF0000"/>
              </a:solidFill>
            </cx:spPr>
          </cx:dataPt>
          <cx:dataPt idx="29">
            <cx:spPr>
              <a:solidFill>
                <a:srgbClr val="FF0000"/>
              </a:solidFill>
            </cx:spPr>
          </cx:dataPt>
          <cx:dataPt idx="30">
            <cx:spPr>
              <a:solidFill>
                <a:srgbClr val="FF0000"/>
              </a:solidFill>
            </cx:spPr>
          </cx:dataPt>
          <cx:dataPt idx="31">
            <cx:spPr>
              <a:solidFill>
                <a:srgbClr val="FF0000"/>
              </a:solidFill>
            </cx:spPr>
          </cx:dataPt>
          <cx:dataPt idx="32">
            <cx:spPr>
              <a:solidFill>
                <a:srgbClr val="FF0000"/>
              </a:solidFill>
            </cx:spPr>
          </cx:dataPt>
          <cx:dataPt idx="33">
            <cx:spPr>
              <a:solidFill>
                <a:srgbClr val="FF0000"/>
              </a:solidFill>
            </cx:spPr>
          </cx:dataPt>
          <cx:dataPt idx="34">
            <cx:spPr>
              <a:solidFill>
                <a:srgbClr val="FF0000"/>
              </a:solidFill>
            </cx:spPr>
          </cx:dataPt>
          <cx:dataPt idx="35">
            <cx:spPr>
              <a:solidFill>
                <a:srgbClr val="FF0000"/>
              </a:solidFill>
            </cx:spPr>
          </cx:dataPt>
          <cx:dataPt idx="36">
            <cx:spPr>
              <a:solidFill>
                <a:srgbClr val="FF0000"/>
              </a:solidFill>
            </cx:spPr>
          </cx:dataPt>
          <cx:dataPt idx="37">
            <cx:spPr>
              <a:solidFill>
                <a:srgbClr val="FF0000"/>
              </a:solidFill>
            </cx:spPr>
          </cx:dataPt>
          <cx:dataPt idx="38">
            <cx:spPr>
              <a:solidFill>
                <a:srgbClr val="FF0000"/>
              </a:solidFill>
            </cx:spPr>
          </cx:dataPt>
          <cx:dataPt idx="39">
            <cx:spPr>
              <a:solidFill>
                <a:srgbClr val="FF0000"/>
              </a:solidFill>
            </cx:spPr>
          </cx:dataPt>
          <cx:dataPt idx="40">
            <cx:spPr>
              <a:solidFill>
                <a:srgbClr val="FF0000"/>
              </a:solidFill>
            </cx:spPr>
          </cx:dataPt>
          <cx:dataPt idx="41">
            <cx:spPr>
              <a:solidFill>
                <a:srgbClr val="FF0000"/>
              </a:solidFill>
            </cx:spPr>
          </cx:dataPt>
          <cx:dataPt idx="42">
            <cx:spPr>
              <a:solidFill>
                <a:srgbClr val="FF0000"/>
              </a:solidFill>
            </cx:spPr>
          </cx:dataPt>
          <cx:dataPt idx="43">
            <cx:spPr>
              <a:solidFill>
                <a:srgbClr val="FF0000"/>
              </a:solidFill>
            </cx:spPr>
          </cx:dataPt>
          <cx:dataPt idx="44">
            <cx:spPr>
              <a:solidFill>
                <a:srgbClr val="FF0000"/>
              </a:solidFill>
            </cx:spPr>
          </cx:dataPt>
          <cx:dataPt idx="45">
            <cx:spPr>
              <a:solidFill>
                <a:srgbClr val="FF0000"/>
              </a:solidFill>
            </cx:spPr>
          </cx:dataPt>
          <cx:dataPt idx="46">
            <cx:spPr>
              <a:solidFill>
                <a:srgbClr val="FF0000"/>
              </a:solidFill>
            </cx:spPr>
          </cx:dataPt>
          <cx:dataPt idx="47">
            <cx:spPr>
              <a:solidFill>
                <a:srgbClr val="FF0000"/>
              </a:solidFill>
            </cx:spPr>
          </cx:dataPt>
          <cx:dataPt idx="48">
            <cx:spPr>
              <a:solidFill>
                <a:srgbClr val="FF0000"/>
              </a:solidFill>
            </cx:spPr>
          </cx:dataPt>
          <cx:dataPt idx="49">
            <cx:spPr>
              <a:solidFill>
                <a:srgbClr val="FF0000"/>
              </a:solidFill>
            </cx:spPr>
          </cx:dataPt>
          <cx:dataPt idx="50">
            <cx:spPr>
              <a:solidFill>
                <a:srgbClr val="FF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 idx="0">
              <cx:txPr>
                <a:bodyPr vertOverflow="overflow" horzOverflow="overflow" wrap="square" lIns="0" tIns="0" rIns="0" bIns="0"/>
                <a:lstStyle/>
                <a:p>
                  <a:pPr algn="ctr" rtl="0">
                    <a:defRPr sz="13800">
                      <a:solidFill>
                        <a:schemeClr val="bg1"/>
                      </a:solidFill>
                    </a:defRPr>
                  </a:pPr>
                  <a:r>
                    <a:rPr sz="13800">
                      <a:solidFill>
                        <a:schemeClr val="bg1"/>
                      </a:solidFill>
                    </a:rPr>
                    <a:t>Microsoft Corp</a:t>
                  </a:r>
                </a:p>
              </cx:txPr>
            </cx:dataLabel>
            <cx:dataLabel idx="1">
              <cx:txPr>
                <a:bodyPr vertOverflow="overflow" horzOverflow="overflow" wrap="square" lIns="0" tIns="0" rIns="0" bIns="0"/>
                <a:lstStyle/>
                <a:p>
                  <a:pPr algn="ctr" rtl="0">
                    <a:defRPr sz="5400">
                      <a:solidFill>
                        <a:schemeClr val="bg1"/>
                      </a:solidFill>
                    </a:defRPr>
                  </a:pPr>
                  <a:r>
                    <a:rPr sz="5400">
                      <a:solidFill>
                        <a:schemeClr val="bg1"/>
                      </a:solidFill>
                    </a:rPr>
                    <a:t>Meta Platforms, Inc. Class A</a:t>
                  </a:r>
                </a:p>
              </cx:txPr>
            </cx:dataLabel>
            <cx:dataLabel idx="2">
              <cx:txPr>
                <a:bodyPr vertOverflow="overflow" horzOverflow="overflow" wrap="square" lIns="0" tIns="0" rIns="0" bIns="0"/>
                <a:lstStyle/>
                <a:p>
                  <a:pPr algn="ctr" rtl="0">
                    <a:defRPr sz="8000">
                      <a:solidFill>
                        <a:schemeClr val="bg1"/>
                      </a:solidFill>
                    </a:defRPr>
                  </a:pPr>
                  <a:r>
                    <a:rPr sz="8000">
                      <a:solidFill>
                        <a:schemeClr val="bg1"/>
                      </a:solidFill>
                    </a:rPr>
                    <a:t>Alphabet Inc. Class A</a:t>
                  </a:r>
                </a:p>
              </cx:txPr>
            </cx:dataLabel>
            <cx:dataLabel idx="3">
              <cx:txPr>
                <a:bodyPr vertOverflow="overflow" horzOverflow="overflow" wrap="square" lIns="0" tIns="0" rIns="0" bIns="0"/>
                <a:lstStyle/>
                <a:p>
                  <a:pPr algn="ctr" rtl="0">
                    <a:defRPr sz="8000">
                      <a:solidFill>
                        <a:schemeClr val="bg1"/>
                      </a:solidFill>
                    </a:defRPr>
                  </a:pPr>
                  <a:r>
                    <a:rPr sz="8000">
                      <a:solidFill>
                        <a:schemeClr val="bg1"/>
                      </a:solidFill>
                    </a:rPr>
                    <a:t>Alphabet Inc. Class C</a:t>
                  </a:r>
                </a:p>
              </cx:txPr>
            </cx:dataLabel>
            <cx:dataLabel idx="4">
              <cx:txPr>
                <a:bodyPr vertOverflow="overflow" horzOverflow="overflow" wrap="square" lIns="0" tIns="0" rIns="0" bIns="0"/>
                <a:lstStyle/>
                <a:p>
                  <a:pPr algn="ctr" rtl="0">
                    <a:defRPr sz="6000">
                      <a:solidFill>
                        <a:schemeClr val="bg1"/>
                      </a:solidFill>
                    </a:defRPr>
                  </a:pPr>
                  <a:r>
                    <a:rPr sz="6000">
                      <a:solidFill>
                        <a:schemeClr val="bg1"/>
                      </a:solidFill>
                    </a:rPr>
                    <a:t>Visa Inc.</a:t>
                  </a:r>
                </a:p>
              </cx:txPr>
            </cx:dataLabel>
            <cx:dataLabel idx="5">
              <cx:txPr>
                <a:bodyPr vertOverflow="overflow" horzOverflow="overflow" wrap="square" lIns="0" tIns="0" rIns="0" bIns="0"/>
                <a:lstStyle/>
                <a:p>
                  <a:pPr algn="ctr" rtl="0">
                    <a:defRPr sz="4000">
                      <a:solidFill>
                        <a:schemeClr val="bg1"/>
                      </a:solidFill>
                    </a:defRPr>
                  </a:pPr>
                  <a:r>
                    <a:rPr sz="4000">
                      <a:solidFill>
                        <a:schemeClr val="bg1"/>
                      </a:solidFill>
                    </a:rPr>
                    <a:t>Mastercard Incorporated</a:t>
                  </a:r>
                </a:p>
              </cx:txPr>
            </cx:dataLabel>
            <cx:dataLabel idx="6">
              <cx:txPr>
                <a:bodyPr vertOverflow="overflow" horzOverflow="overflow" wrap="square" lIns="0" tIns="0" rIns="0" bIns="0"/>
                <a:lstStyle/>
                <a:p>
                  <a:pPr algn="ctr" rtl="0">
                    <a:defRPr sz="4000">
                      <a:solidFill>
                        <a:schemeClr val="bg1"/>
                      </a:solidFill>
                    </a:defRPr>
                  </a:pPr>
                  <a:r>
                    <a:rPr sz="4000">
                      <a:solidFill>
                        <a:schemeClr val="bg1"/>
                      </a:solidFill>
                    </a:rPr>
                    <a:t>Netflix Inc</a:t>
                  </a:r>
                </a:p>
              </cx:txPr>
            </cx:dataLabel>
            <cx:dataLabel idx="7">
              <cx:txPr>
                <a:bodyPr vertOverflow="overflow" horzOverflow="overflow" wrap="square" lIns="0" tIns="0" rIns="0" bIns="0"/>
                <a:lstStyle/>
                <a:p>
                  <a:pPr algn="ctr" rtl="0">
                    <a:defRPr sz="2800">
                      <a:solidFill>
                        <a:schemeClr val="bg1"/>
                      </a:solidFill>
                    </a:defRPr>
                  </a:pPr>
                  <a:r>
                    <a:rPr sz="2800">
                      <a:solidFill>
                        <a:schemeClr val="bg1"/>
                      </a:solidFill>
                    </a:rPr>
                    <a:t>Salesforce, Inc.</a:t>
                  </a:r>
                </a:p>
              </cx:txPr>
            </cx:dataLabel>
            <cx:dataLabel idx="8">
              <cx:txPr>
                <a:bodyPr vertOverflow="overflow" horzOverflow="overflow" wrap="square" lIns="0" tIns="0" rIns="0" bIns="0"/>
                <a:lstStyle/>
                <a:p>
                  <a:pPr algn="ctr" rtl="0">
                    <a:defRPr sz="4400">
                      <a:solidFill>
                        <a:schemeClr val="bg1"/>
                      </a:solidFill>
                    </a:defRPr>
                  </a:pPr>
                  <a:r>
                    <a:rPr sz="4400">
                      <a:solidFill>
                        <a:schemeClr val="bg1"/>
                      </a:solidFill>
                    </a:rPr>
                    <a:t>Oracle Corp</a:t>
                  </a:r>
                </a:p>
              </cx:txPr>
            </cx:dataLabel>
            <cx:dataLabel idx="9">
              <cx:txPr>
                <a:bodyPr vertOverflow="overflow" horzOverflow="overflow" wrap="square" lIns="0" tIns="0" rIns="0" bIns="0"/>
                <a:lstStyle/>
                <a:p>
                  <a:pPr algn="ctr" rtl="0">
                    <a:defRPr sz="2400">
                      <a:solidFill>
                        <a:schemeClr val="bg1"/>
                      </a:solidFill>
                    </a:defRPr>
                  </a:pPr>
                  <a:r>
                    <a:rPr sz="2400">
                      <a:solidFill>
                        <a:schemeClr val="bg1"/>
                      </a:solidFill>
                    </a:rPr>
                    <a:t>International Business Machines Corporation</a:t>
                  </a:r>
                </a:p>
              </cx:txPr>
            </cx:dataLabel>
            <cx:dataLabel idx="11">
              <cx:txPr>
                <a:bodyPr vertOverflow="overflow" horzOverflow="overflow" wrap="square" lIns="0" tIns="0" rIns="0" bIns="0"/>
                <a:lstStyle/>
                <a:p>
                  <a:pPr algn="ctr" rtl="0">
                    <a:defRPr sz="2400">
                      <a:solidFill>
                        <a:schemeClr val="bg1"/>
                      </a:solidFill>
                    </a:defRPr>
                  </a:pPr>
                  <a:r>
                    <a:rPr sz="2400">
                      <a:solidFill>
                        <a:schemeClr val="bg1"/>
                      </a:solidFill>
                    </a:rPr>
                    <a:t>Adobe Inc.</a:t>
                  </a:r>
                </a:p>
              </cx:txPr>
            </cx:dataLabel>
            <cx:dataLabel idx="12">
              <cx:txPr>
                <a:bodyPr vertOverflow="overflow" horzOverflow="overflow" wrap="square" lIns="0" tIns="0" rIns="0" bIns="0"/>
                <a:lstStyle/>
                <a:p>
                  <a:pPr algn="ctr" rtl="0">
                    <a:defRPr sz="2400">
                      <a:solidFill>
                        <a:schemeClr val="bg1"/>
                      </a:solidFill>
                    </a:defRPr>
                  </a:pPr>
                  <a:r>
                    <a:rPr sz="2400">
                      <a:solidFill>
                        <a:schemeClr val="bg1"/>
                      </a:solidFill>
                    </a:rPr>
                    <a:t>Servicenow, Inc.</a:t>
                  </a:r>
                </a:p>
              </cx:txPr>
            </cx:dataLabel>
            <cx:dataLabel idx="13">
              <cx:txPr>
                <a:bodyPr vertOverflow="overflow" horzOverflow="overflow" wrap="square" lIns="0" tIns="0" rIns="0" bIns="0"/>
                <a:lstStyle/>
                <a:p>
                  <a:pPr algn="ctr" rtl="0">
                    <a:defRPr sz="2400">
                      <a:solidFill>
                        <a:schemeClr val="bg1"/>
                      </a:solidFill>
                    </a:defRPr>
                  </a:pPr>
                  <a:r>
                    <a:rPr sz="2400">
                      <a:solidFill>
                        <a:schemeClr val="bg1"/>
                      </a:solidFill>
                    </a:rPr>
                    <a:t>Palantir Technologies Inc. Class A</a:t>
                  </a:r>
                </a:p>
              </cx:txPr>
            </cx:dataLabel>
            <cx:dataLabel idx="14">
              <cx:txPr>
                <a:bodyPr vertOverflow="overflow" horzOverflow="overflow" wrap="square" lIns="0" tIns="0" rIns="0" bIns="0"/>
                <a:lstStyle/>
                <a:p>
                  <a:pPr algn="ctr" rtl="0">
                    <a:defRPr sz="2000">
                      <a:solidFill>
                        <a:schemeClr val="bg1"/>
                      </a:solidFill>
                    </a:defRPr>
                  </a:pPr>
                  <a:r>
                    <a:rPr sz="2000">
                      <a:solidFill>
                        <a:schemeClr val="bg1"/>
                      </a:solidFill>
                    </a:rPr>
                    <a:t>Uber Technologies, Inc.</a:t>
                  </a:r>
                </a:p>
              </cx:txPr>
            </cx:dataLabel>
            <cx:dataLabel idx="15">
              <cx:txPr>
                <a:bodyPr vertOverflow="overflow" horzOverflow="overflow" wrap="square" lIns="0" tIns="0" rIns="0" bIns="0"/>
                <a:lstStyle/>
                <a:p>
                  <a:pPr algn="ctr" rtl="0">
                    <a:defRPr sz="2000">
                      <a:solidFill>
                        <a:schemeClr val="bg1"/>
                      </a:solidFill>
                    </a:defRPr>
                  </a:pPr>
                  <a:r>
                    <a:rPr sz="2000">
                      <a:solidFill>
                        <a:schemeClr val="bg1"/>
                      </a:solidFill>
                    </a:rPr>
                    <a:t>Automatic Data Processing</a:t>
                  </a:r>
                </a:p>
              </cx:txPr>
            </cx:dataLabel>
            <cx:dataLabel idx="16">
              <cx:txPr>
                <a:bodyPr vertOverflow="overflow" horzOverflow="overflow" wrap="square" lIns="0" tIns="0" rIns="0" bIns="0"/>
                <a:lstStyle/>
                <a:p>
                  <a:pPr algn="ctr" rtl="0">
                    <a:defRPr sz="2000">
                      <a:solidFill>
                        <a:schemeClr val="bg1"/>
                      </a:solidFill>
                    </a:defRPr>
                  </a:pPr>
                  <a:r>
                    <a:rPr sz="2000">
                      <a:solidFill>
                        <a:schemeClr val="bg1"/>
                      </a:solidFill>
                    </a:rPr>
                    <a:t>Palo Alto Networks, Inc.</a:t>
                  </a:r>
                </a:p>
              </cx:txPr>
            </cx:dataLabel>
            <cx:dataLabel idx="17">
              <cx:txPr>
                <a:bodyPr vertOverflow="overflow" horzOverflow="overflow" wrap="square" lIns="0" tIns="0" rIns="0" bIns="0"/>
                <a:lstStyle/>
                <a:p>
                  <a:pPr algn="ctr" rtl="0">
                    <a:defRPr sz="2000">
                      <a:solidFill>
                        <a:schemeClr val="bg1"/>
                      </a:solidFill>
                    </a:defRPr>
                  </a:pPr>
                  <a:r>
                    <a:rPr sz="2000">
                      <a:solidFill>
                        <a:schemeClr val="bg1"/>
                      </a:solidFill>
                    </a:rPr>
                    <a:t>Crowdstrike Holdings, Inc. Class A</a:t>
                  </a:r>
                </a:p>
              </cx:txPr>
            </cx:dataLabel>
            <cx:dataLabel idx="18">
              <cx:txPr>
                <a:bodyPr vertOverflow="overflow" horzOverflow="overflow" wrap="square" lIns="0" tIns="0" rIns="0" bIns="0"/>
                <a:lstStyle/>
                <a:p>
                  <a:pPr algn="ctr" rtl="0">
                    <a:defRPr sz="2000">
                      <a:solidFill>
                        <a:schemeClr val="bg1"/>
                      </a:solidFill>
                    </a:defRPr>
                  </a:pPr>
                  <a:r>
                    <a:rPr sz="2000">
                      <a:solidFill>
                        <a:schemeClr val="bg1"/>
                      </a:solidFill>
                    </a:rPr>
                    <a:t>Synopsys Inc</a:t>
                  </a:r>
                </a:p>
              </cx:txPr>
            </cx:dataLabel>
            <cx:dataLabel idx="20">
              <cx:txPr>
                <a:bodyPr vertOverflow="overflow" horzOverflow="overflow" wrap="square" lIns="0" tIns="0" rIns="0" bIns="0"/>
                <a:lstStyle/>
                <a:p>
                  <a:pPr algn="ctr" rtl="0">
                    <a:defRPr sz="2400">
                      <a:solidFill>
                        <a:schemeClr val="bg1"/>
                      </a:solidFill>
                    </a:defRPr>
                  </a:pPr>
                  <a:r>
                    <a:rPr sz="2400">
                      <a:solidFill>
                        <a:schemeClr val="bg1"/>
                      </a:solidFill>
                    </a:rPr>
                    <a:t>Fortinet, Inc.</a:t>
                  </a:r>
                </a:p>
              </cx:txPr>
            </cx:dataLabel>
            <cx:dataLabel idx="22">
              <cx:txPr>
                <a:bodyPr vertOverflow="overflow" horzOverflow="overflow" wrap="square" lIns="0" tIns="0" rIns="0" bIns="0"/>
                <a:lstStyle/>
                <a:p>
                  <a:pPr algn="ctr" rtl="0">
                    <a:defRPr sz="1800">
                      <a:solidFill>
                        <a:schemeClr val="bg1"/>
                      </a:solidFill>
                    </a:defRPr>
                  </a:pPr>
                  <a:r>
                    <a:rPr sz="1800">
                      <a:solidFill>
                        <a:schemeClr val="bg1"/>
                      </a:solidFill>
                    </a:rPr>
                    <a:t>Airbnb, Inc. Class A</a:t>
                  </a:r>
                </a:p>
              </cx:txPr>
            </cx:dataLabel>
            <cx:dataLabel idx="24">
              <cx:txPr>
                <a:bodyPr vertOverflow="overflow" horzOverflow="overflow" wrap="square" lIns="0" tIns="0" rIns="0" bIns="0"/>
                <a:lstStyle/>
                <a:p>
                  <a:pPr algn="ctr" rtl="0">
                    <a:defRPr sz="1800">
                      <a:solidFill>
                        <a:schemeClr val="bg1"/>
                      </a:solidFill>
                    </a:defRPr>
                  </a:pPr>
                  <a:r>
                    <a:rPr sz="1800">
                      <a:solidFill>
                        <a:schemeClr val="bg1"/>
                      </a:solidFill>
                    </a:rPr>
                    <a:t>Workday, Inc. Class A</a:t>
                  </a:r>
                </a:p>
              </cx:txPr>
            </cx:dataLabel>
          </cx:dataLabels>
          <cx:dataId val="0"/>
          <cx:layoutPr>
            <cx:parentLabelLayout val="overlapping"/>
          </cx:layoutPr>
        </cx:series>
      </cx:plotAreaRegion>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Hotels &amp; entertainment Services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Hotels &amp; entertainment Services</a:t>
          </a:r>
        </a:p>
      </cx:txPr>
    </cx:title>
    <cx:plotArea>
      <cx:plotAreaRegion>
        <cx:series layoutId="treemap" uniqueId="{BFBF7FAE-32BC-4FA5-8596-DB1B62E0302C}">
          <cx:dataPt idx="0">
            <cx:spPr>
              <a:solidFill>
                <a:srgbClr val="0096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960000"/>
              </a:solidFill>
            </cx:spPr>
          </cx:dataPt>
          <cx:dataPt idx="5">
            <cx:spPr>
              <a:solidFill>
                <a:srgbClr val="960000"/>
              </a:solidFill>
            </cx:spPr>
          </cx:dataPt>
          <cx:dataPt idx="6">
            <cx:spPr>
              <a:solidFill>
                <a:srgbClr val="960000"/>
              </a:solidFill>
            </cx:spPr>
          </cx:dataPt>
          <cx:dataPt idx="7">
            <cx:spPr>
              <a:solidFill>
                <a:srgbClr val="960000"/>
              </a:solidFill>
            </cx:spPr>
          </cx:dataPt>
          <cx:dataPt idx="8">
            <cx:spPr>
              <a:solidFill>
                <a:srgbClr val="960000"/>
              </a:solidFill>
            </cx:spPr>
          </cx:dataPt>
          <cx:dataPt idx="9">
            <cx:spPr>
              <a:solidFill>
                <a:srgbClr val="960000"/>
              </a:solidFill>
            </cx:spPr>
          </cx:dataPt>
          <cx:dataPt idx="10">
            <cx:spPr>
              <a:solidFill>
                <a:srgbClr val="960000"/>
              </a:solidFill>
            </cx:spPr>
          </cx:dataPt>
          <cx:dataPt idx="11">
            <cx:spPr>
              <a:solidFill>
                <a:srgbClr val="960000"/>
              </a:solidFill>
            </cx:spPr>
          </cx:dataPt>
          <cx:dataPt idx="12">
            <cx:spPr>
              <a:solidFill>
                <a:srgbClr val="960000"/>
              </a:solidFill>
            </cx:spPr>
          </cx:dataPt>
          <cx:dataPt idx="13">
            <cx:spPr>
              <a:solidFill>
                <a:srgbClr val="960000"/>
              </a:solidFill>
            </cx:spPr>
          </cx:dataPt>
          <cx:dataPt idx="14">
            <cx:spPr>
              <a:solidFill>
                <a:srgbClr val="960000"/>
              </a:solidFill>
            </cx:spPr>
          </cx:dataPt>
          <cx:dataPt idx="15">
            <cx:spPr>
              <a:solidFill>
                <a:srgbClr val="960000"/>
              </a:solidFill>
            </cx:spPr>
          </cx:dataPt>
          <cx:dataPt idx="16">
            <cx:spPr>
              <a:solidFill>
                <a:srgbClr val="960000"/>
              </a:solidFill>
            </cx:spPr>
          </cx:dataPt>
          <cx:dataPt idx="17">
            <cx:spPr>
              <a:solidFill>
                <a:srgbClr val="960000"/>
              </a:solidFill>
            </cx:spPr>
          </cx:dataPt>
          <cx:dataPt idx="18">
            <cx:spPr>
              <a:solidFill>
                <a:srgbClr val="960000"/>
              </a:solidFill>
            </cx:spPr>
          </cx:dataPt>
          <cx:dataPt idx="19">
            <cx:spPr>
              <a:solidFill>
                <a:srgbClr val="960000"/>
              </a:solidFill>
            </cx:spPr>
          </cx:dataPt>
          <cx:dataPt idx="20">
            <cx:spPr>
              <a:solidFill>
                <a:srgbClr val="960000"/>
              </a:solidFill>
            </cx:spPr>
          </cx:dataPt>
          <cx:dataPt idx="21">
            <cx:spPr>
              <a:solidFill>
                <a:srgbClr val="960000"/>
              </a:solidFill>
            </cx:spPr>
          </cx:dataPt>
          <cx:dataLabels pos="inEnd">
            <cx:txPr>
              <a:bodyPr vertOverflow="overflow" horzOverflow="overflow" wrap="square" lIns="0" tIns="0" rIns="0" bIns="0"/>
              <a:lstStyle/>
              <a:p>
                <a:pPr algn="ctr" rtl="0">
                  <a:defRPr sz="14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sz="1400"/>
              </a:p>
            </cx:txPr>
            <cx:visibility seriesName="0" categoryName="1" value="0"/>
            <cx:dataLabel idx="0">
              <cx:txPr>
                <a:bodyPr vertOverflow="overflow" horzOverflow="overflow" wrap="square" lIns="0" tIns="0" rIns="0" bIns="0"/>
                <a:lstStyle/>
                <a:p>
                  <a:pPr algn="ctr" rtl="0">
                    <a:defRPr sz="3200">
                      <a:solidFill>
                        <a:schemeClr val="bg1"/>
                      </a:solidFill>
                    </a:defRPr>
                  </a:pPr>
                  <a:r>
                    <a:rPr sz="3200">
                      <a:solidFill>
                        <a:schemeClr val="bg1"/>
                      </a:solidFill>
                    </a:rPr>
                    <a:t>Mcdonald's Corporation</a:t>
                  </a:r>
                </a:p>
              </cx:txPr>
            </cx:dataLabel>
            <cx:dataLabel idx="1">
              <cx:txPr>
                <a:bodyPr vertOverflow="overflow" horzOverflow="overflow" wrap="square" lIns="0" tIns="0" rIns="0" bIns="0"/>
                <a:lstStyle/>
                <a:p>
                  <a:pPr algn="ctr" rtl="0">
                    <a:defRPr sz="3200">
                      <a:solidFill>
                        <a:schemeClr val="bg1"/>
                      </a:solidFill>
                    </a:defRPr>
                  </a:pPr>
                  <a:r>
                    <a:rPr sz="3200">
                      <a:solidFill>
                        <a:schemeClr val="bg1"/>
                      </a:solidFill>
                    </a:rPr>
                    <a:t>Booking Holdings Inc.</a:t>
                  </a:r>
                </a:p>
              </cx:txPr>
            </cx:dataLabel>
          </cx:dataLabels>
          <cx:dataId val="0"/>
          <cx:layoutPr>
            <cx:parentLabelLayout val="overlapping"/>
          </cx:layoutPr>
        </cx:series>
      </cx:plotAreaRegion>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_xlchart.v1.15</cx:f>
      </cx:numDim>
    </cx:data>
  </cx:chartData>
  <cx:chart>
    <cx:title pos="t" align="ctr" overlay="0">
      <cx:tx>
        <cx:txData>
          <cx:v>OIl &amp; Natural resources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OIl &amp; Natural resources</a:t>
          </a:r>
        </a:p>
      </cx:txPr>
    </cx:title>
    <cx:plotArea>
      <cx:plotAreaRegion>
        <cx:series layoutId="treemap" uniqueId="{D189240E-ECAE-4732-937C-CDB799047B0A}">
          <cx:dataPt idx="0">
            <cx:spPr>
              <a:solidFill>
                <a:srgbClr val="009600"/>
              </a:solidFill>
            </cx:spPr>
          </cx:dataPt>
          <cx:dataPt idx="1">
            <cx:spPr>
              <a:solidFill>
                <a:srgbClr val="009600"/>
              </a:solidFill>
            </cx:spPr>
          </cx:dataPt>
          <cx:dataPt idx="2">
            <cx:spPr>
              <a:solidFill>
                <a:srgbClr val="960000"/>
              </a:solidFill>
            </cx:spPr>
          </cx:dataPt>
          <cx:dataPt idx="3">
            <cx:spPr>
              <a:solidFill>
                <a:srgbClr val="960000"/>
              </a:solidFill>
            </cx:spPr>
          </cx:dataPt>
          <cx:dataPt idx="4">
            <cx:spPr>
              <a:solidFill>
                <a:srgbClr val="32C832"/>
              </a:solidFill>
            </cx:spPr>
          </cx:dataPt>
          <cx:dataPt idx="5">
            <cx:spPr>
              <a:solidFill>
                <a:srgbClr val="960000"/>
              </a:solidFill>
            </cx:spPr>
          </cx:dataPt>
          <cx:dataPt idx="6">
            <cx:spPr>
              <a:solidFill>
                <a:srgbClr val="960000"/>
              </a:solidFill>
            </cx:spPr>
          </cx:dataPt>
          <cx:dataPt idx="7">
            <cx:spPr>
              <a:solidFill>
                <a:srgbClr val="32C832"/>
              </a:solidFill>
            </cx:spPr>
          </cx:dataPt>
          <cx:dataPt idx="8">
            <cx:spPr>
              <a:solidFill>
                <a:srgbClr val="009600"/>
              </a:solidFill>
            </cx:spPr>
          </cx:dataPt>
          <cx:dataPt idx="9">
            <cx:spPr>
              <a:solidFill>
                <a:srgbClr val="009600"/>
              </a:solidFill>
            </cx:spPr>
          </cx:dataPt>
          <cx:dataPt idx="10">
            <cx:spPr>
              <a:solidFill>
                <a:srgbClr val="009600"/>
              </a:solidFill>
            </cx:spPr>
          </cx:dataPt>
          <cx:dataPt idx="11">
            <cx:spPr>
              <a:solidFill>
                <a:srgbClr val="009600"/>
              </a:solidFill>
            </cx:spPr>
          </cx:dataPt>
          <cx:dataPt idx="12">
            <cx:spPr>
              <a:solidFill>
                <a:srgbClr val="009600"/>
              </a:solidFill>
            </cx:spPr>
          </cx:dataPt>
          <cx:dataPt idx="13">
            <cx:spPr>
              <a:solidFill>
                <a:srgbClr val="960000"/>
              </a:solidFill>
            </cx:spPr>
          </cx:dataPt>
          <cx:dataPt idx="14">
            <cx:spPr>
              <a:solidFill>
                <a:srgbClr val="009600"/>
              </a:solidFill>
            </cx:spPr>
          </cx:dataPt>
          <cx:dataPt idx="15">
            <cx:spPr>
              <a:solidFill>
                <a:srgbClr val="009600"/>
              </a:solidFill>
            </cx:spPr>
          </cx:dataPt>
          <cx:dataPt idx="16">
            <cx:spPr>
              <a:solidFill>
                <a:srgbClr val="C83232"/>
              </a:solidFill>
            </cx:spPr>
          </cx:dataPt>
          <cx:dataPt idx="17">
            <cx:spPr>
              <a:solidFill>
                <a:srgbClr val="009600"/>
              </a:solidFill>
            </cx:spPr>
          </cx:dataPt>
          <cx:dataPt idx="18">
            <cx:spPr>
              <a:solidFill>
                <a:srgbClr val="960000"/>
              </a:solidFill>
            </cx:spPr>
          </cx:dataPt>
          <cx:dataPt idx="19">
            <cx:spPr>
              <a:solidFill>
                <a:srgbClr val="009600"/>
              </a:solidFill>
            </cx:spPr>
          </cx:dataPt>
          <cx:dataPt idx="20">
            <cx:spPr>
              <a:solidFill>
                <a:srgbClr val="960000"/>
              </a:solidFill>
            </cx:spPr>
          </cx:dataPt>
          <cx:dataPt idx="21">
            <cx:spPr>
              <a:solidFill>
                <a:srgbClr val="960000"/>
              </a:solidFill>
            </cx:spPr>
          </cx:dataPt>
          <cx:dataPt idx="22">
            <cx:spPr>
              <a:solidFill>
                <a:srgbClr val="009600"/>
              </a:solidFill>
            </cx:spPr>
          </cx:dataPt>
          <cx:dataPt idx="23">
            <cx:spPr>
              <a:solidFill>
                <a:srgbClr val="009600"/>
              </a:solidFill>
            </cx:spPr>
          </cx:dataPt>
          <cx:dataPt idx="24">
            <cx:spPr>
              <a:solidFill>
                <a:srgbClr val="960000"/>
              </a:solidFill>
            </cx:spPr>
          </cx:dataPt>
          <cx:dataPt idx="25">
            <cx:spPr>
              <a:solidFill>
                <a:srgbClr val="009600"/>
              </a:solidFill>
            </cx:spPr>
          </cx:dataPt>
          <cx:dataPt idx="26">
            <cx:spPr>
              <a:solidFill>
                <a:srgbClr val="C83232"/>
              </a:solidFill>
            </cx:spPr>
          </cx:dataPt>
          <cx:dataPt idx="27">
            <cx:spPr>
              <a:solidFill>
                <a:srgbClr val="C83232"/>
              </a:solidFill>
            </cx:spPr>
          </cx:dataPt>
          <cx:dataPt idx="28">
            <cx:spPr>
              <a:solidFill>
                <a:srgbClr val="009600"/>
              </a:solidFill>
            </cx:spPr>
          </cx:dataPt>
          <cx:dataPt idx="29">
            <cx:spPr>
              <a:solidFill>
                <a:srgbClr val="32C832"/>
              </a:solidFill>
            </cx:spPr>
          </cx:dataPt>
          <cx:dataPt idx="30">
            <cx:spPr>
              <a:solidFill>
                <a:srgbClr val="0096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REIT</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REIT</a:t>
          </a:r>
        </a:p>
      </cx:txPr>
    </cx:title>
    <cx:plotArea>
      <cx:plotAreaRegion>
        <cx:series layoutId="treemap" uniqueId="{D7B91E46-42BF-4508-AB40-C21CBBB85F37}">
          <cx:dataPt idx="0">
            <cx:spPr>
              <a:solidFill>
                <a:srgbClr val="960000"/>
              </a:solidFill>
            </cx:spPr>
          </cx:dataPt>
          <cx:dataPt idx="1">
            <cx:spPr>
              <a:solidFill>
                <a:srgbClr val="009600"/>
              </a:solidFill>
            </cx:spPr>
          </cx:dataPt>
          <cx:dataPt idx="2">
            <cx:spPr>
              <a:solidFill>
                <a:srgbClr val="009600"/>
              </a:solidFill>
            </cx:spPr>
          </cx:dataPt>
          <cx:dataPt idx="3">
            <cx:spPr>
              <a:solidFill>
                <a:srgbClr val="960000"/>
              </a:solidFill>
            </cx:spPr>
          </cx:dataPt>
          <cx:dataPt idx="4">
            <cx:spPr>
              <a:solidFill>
                <a:srgbClr val="960000"/>
              </a:solidFill>
            </cx:spPr>
          </cx:dataPt>
          <cx:dataPt idx="5">
            <cx:spPr>
              <a:solidFill>
                <a:srgbClr val="009600"/>
              </a:solidFill>
            </cx:spPr>
          </cx:dataPt>
          <cx:dataPt idx="6">
            <cx:spPr>
              <a:solidFill>
                <a:srgbClr val="009600"/>
              </a:solidFill>
            </cx:spPr>
          </cx:dataPt>
          <cx:dataPt idx="7">
            <cx:spPr>
              <a:solidFill>
                <a:srgbClr val="009600"/>
              </a:solidFill>
            </cx:spPr>
          </cx:dataPt>
          <cx:dataPt idx="8">
            <cx:spPr>
              <a:solidFill>
                <a:srgbClr val="009600"/>
              </a:solidFill>
            </cx:spPr>
          </cx:dataPt>
          <cx:dataPt idx="9">
            <cx:spPr>
              <a:solidFill>
                <a:srgbClr val="009600"/>
              </a:solidFill>
            </cx:spPr>
          </cx:dataPt>
          <cx:dataPt idx="10">
            <cx:spPr>
              <a:solidFill>
                <a:srgbClr val="960000"/>
              </a:solidFill>
            </cx:spPr>
          </cx:dataPt>
          <cx:dataPt idx="11">
            <cx:spPr>
              <a:solidFill>
                <a:srgbClr val="009600"/>
              </a:solidFill>
            </cx:spPr>
          </cx:dataPt>
          <cx:dataPt idx="12">
            <cx:spPr>
              <a:solidFill>
                <a:srgbClr val="009600"/>
              </a:solidFill>
            </cx:spPr>
          </cx:dataPt>
          <cx:dataPt idx="13">
            <cx:spPr>
              <a:solidFill>
                <a:srgbClr val="009600"/>
              </a:solidFill>
            </cx:spPr>
          </cx:dataPt>
          <cx:dataPt idx="14">
            <cx:spPr>
              <a:solidFill>
                <a:srgbClr val="960000"/>
              </a:solidFill>
            </cx:spPr>
          </cx:dataPt>
          <cx:dataPt idx="15">
            <cx:spPr>
              <a:solidFill>
                <a:srgbClr val="009600"/>
              </a:solidFill>
            </cx:spPr>
          </cx:dataPt>
          <cx:dataPt idx="16">
            <cx:spPr>
              <a:solidFill>
                <a:srgbClr val="960000"/>
              </a:solidFill>
            </cx:spPr>
          </cx:dataPt>
          <cx:dataPt idx="17">
            <cx:spPr>
              <a:solidFill>
                <a:srgbClr val="960000"/>
              </a:solidFill>
            </cx:spPr>
          </cx:dataPt>
          <cx:dataPt idx="18">
            <cx:spPr>
              <a:solidFill>
                <a:srgbClr val="009600"/>
              </a:solidFill>
            </cx:spPr>
          </cx:dataPt>
          <cx:dataPt idx="19">
            <cx:spPr>
              <a:solidFill>
                <a:srgbClr val="009600"/>
              </a:solidFill>
            </cx:spPr>
          </cx:dataPt>
          <cx:dataPt idx="20">
            <cx:spPr>
              <a:solidFill>
                <a:srgbClr val="009600"/>
              </a:solidFill>
            </cx:spPr>
          </cx:dataPt>
          <cx:dataPt idx="21">
            <cx:spPr>
              <a:solidFill>
                <a:srgbClr val="009600"/>
              </a:solidFill>
            </cx:spPr>
          </cx:dataPt>
          <cx:dataPt idx="22">
            <cx:spPr>
              <a:solidFill>
                <a:srgbClr val="009600"/>
              </a:solidFill>
            </cx:spPr>
          </cx:dataPt>
          <cx:dataPt idx="23">
            <cx:spPr>
              <a:solidFill>
                <a:srgbClr val="009600"/>
              </a:solidFill>
            </cx:spPr>
          </cx:dataPt>
          <cx:dataPt idx="24">
            <cx:spPr>
              <a:solidFill>
                <a:srgbClr val="009600"/>
              </a:solidFill>
            </cx:spPr>
          </cx:dataPt>
          <cx:dataPt idx="25">
            <cx:spPr>
              <a:solidFill>
                <a:srgbClr val="009600"/>
              </a:solidFill>
            </cx:spPr>
          </cx:dataPt>
          <cx:dataPt idx="26">
            <cx:spPr>
              <a:solidFill>
                <a:srgbClr val="009600"/>
              </a:solidFill>
            </cx:spPr>
          </cx:dataPt>
          <cx:dataPt idx="27">
            <cx:spPr>
              <a:solidFill>
                <a:srgbClr val="009600"/>
              </a:solidFill>
            </cx:spPr>
          </cx:dataPt>
          <cx:dataPt idx="28">
            <cx:spPr>
              <a:solidFill>
                <a:srgbClr val="009600"/>
              </a:solidFill>
            </cx:spPr>
          </cx:dataPt>
          <cx:dataPt idx="29">
            <cx:spPr>
              <a:solidFill>
                <a:srgbClr val="009600"/>
              </a:solidFill>
            </cx:spPr>
          </cx:dataPt>
          <cx:dataPt idx="30">
            <cx:spPr>
              <a:solidFill>
                <a:srgbClr val="009600"/>
              </a:solidFill>
            </cx:spPr>
          </cx:dataPt>
          <cx:dataPt idx="31">
            <cx:spPr>
              <a:solidFill>
                <a:srgbClr val="009600"/>
              </a:solidFill>
            </cx:spPr>
          </cx:dataPt>
          <cx:dataPt idx="32">
            <cx:spPr>
              <a:solidFill>
                <a:srgbClr val="009600"/>
              </a:solidFill>
            </cx:spPr>
          </cx:dataPt>
          <cx:dataPt idx="33">
            <cx:spPr>
              <a:solidFill>
                <a:srgbClr val="009600"/>
              </a:solidFill>
            </cx:spPr>
          </cx:dataPt>
          <cx:dataPt idx="34">
            <cx:spPr>
              <a:solidFill>
                <a:srgbClr val="009600"/>
              </a:solidFill>
            </cx:spPr>
          </cx:dataPt>
          <cx:dataPt idx="35">
            <cx:spPr>
              <a:solidFill>
                <a:srgbClr val="009600"/>
              </a:solidFill>
            </cx:spPr>
          </cx:dataPt>
          <cx:dataLabels pos="inEnd">
            <cx:txPr>
              <a:bodyPr vertOverflow="overflow" horzOverflow="overflow" wrap="square" lIns="0" tIns="0" rIns="0" bIns="0"/>
              <a:lstStyle/>
              <a:p>
                <a:pPr algn="ctr" rtl="0">
                  <a:defRPr sz="14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sz="1400"/>
              </a:p>
            </cx:txPr>
            <cx:visibility seriesName="0" categoryName="1" value="0"/>
            <cx:dataLabel idx="0">
              <cx:txPr>
                <a:bodyPr vertOverflow="overflow" horzOverflow="overflow" wrap="square" lIns="0" tIns="0" rIns="0" bIns="0"/>
                <a:lstStyle/>
                <a:p>
                  <a:pPr algn="ctr" rtl="0">
                    <a:defRPr sz="5400">
                      <a:solidFill>
                        <a:schemeClr val="bg1"/>
                      </a:solidFill>
                    </a:defRPr>
                  </a:pPr>
                  <a:r>
                    <a:rPr sz="5400">
                      <a:solidFill>
                        <a:schemeClr val="bg1"/>
                      </a:solidFill>
                    </a:rPr>
                    <a:t>Prologis, Inc.</a:t>
                  </a:r>
                </a:p>
              </cx:txPr>
            </cx:dataLabel>
            <cx:dataLabel idx="1">
              <cx:txPr>
                <a:bodyPr vertOverflow="overflow" horzOverflow="overflow" wrap="square" lIns="0" tIns="0" rIns="0" bIns="0"/>
                <a:lstStyle/>
                <a:p>
                  <a:pPr algn="ctr" rtl="0">
                    <a:defRPr sz="3600">
                      <a:solidFill>
                        <a:schemeClr val="bg1"/>
                      </a:solidFill>
                    </a:defRPr>
                  </a:pPr>
                  <a:r>
                    <a:rPr sz="3600">
                      <a:solidFill>
                        <a:schemeClr val="bg1"/>
                      </a:solidFill>
                    </a:rPr>
                    <a:t>American Tower Corporation</a:t>
                  </a:r>
                </a:p>
              </cx:txPr>
            </cx:dataLabel>
            <cx:dataLabel idx="2">
              <cx:txPr>
                <a:bodyPr vertOverflow="overflow" horzOverflow="overflow" wrap="square" lIns="0" tIns="0" rIns="0" bIns="0"/>
                <a:lstStyle/>
                <a:p>
                  <a:pPr algn="ctr" rtl="0">
                    <a:defRPr sz="4000">
                      <a:solidFill>
                        <a:schemeClr val="bg1"/>
                      </a:solidFill>
                    </a:defRPr>
                  </a:pPr>
                  <a:r>
                    <a:rPr sz="4000">
                      <a:solidFill>
                        <a:schemeClr val="bg1"/>
                      </a:solidFill>
                    </a:rPr>
                    <a:t>Welltower Inc.</a:t>
                  </a:r>
                </a:p>
              </cx:txPr>
            </cx:dataLabel>
            <cx:dataLabel idx="3">
              <cx:txPr>
                <a:bodyPr vertOverflow="overflow" horzOverflow="overflow" wrap="square" lIns="0" tIns="0" rIns="0" bIns="0"/>
                <a:lstStyle/>
                <a:p>
                  <a:pPr algn="ctr" rtl="0">
                    <a:defRPr sz="2800">
                      <a:solidFill>
                        <a:schemeClr val="bg1"/>
                      </a:solidFill>
                    </a:defRPr>
                  </a:pPr>
                  <a:r>
                    <a:rPr sz="2800">
                      <a:solidFill>
                        <a:schemeClr val="bg1"/>
                      </a:solidFill>
                    </a:rPr>
                    <a:t>Equinix, Inc. Reit</a:t>
                  </a:r>
                </a:p>
              </cx:txPr>
            </cx:dataLabel>
            <cx:dataLabel idx="4">
              <cx:txPr>
                <a:bodyPr vertOverflow="overflow" horzOverflow="overflow" wrap="square" lIns="0" tIns="0" rIns="0" bIns="0"/>
                <a:lstStyle/>
                <a:p>
                  <a:pPr algn="ctr" rtl="0">
                    <a:defRPr sz="2400">
                      <a:solidFill>
                        <a:schemeClr val="bg1"/>
                      </a:solidFill>
                    </a:defRPr>
                  </a:pPr>
                  <a:r>
                    <a:rPr sz="2400">
                      <a:solidFill>
                        <a:schemeClr val="bg1"/>
                      </a:solidFill>
                    </a:rPr>
                    <a:t>Simon Property Group, Inc.</a:t>
                  </a:r>
                </a:p>
              </cx:txPr>
            </cx:dataLabel>
            <cx:dataLabel idx="5">
              <cx:txPr>
                <a:bodyPr vertOverflow="overflow" horzOverflow="overflow" wrap="square" lIns="0" tIns="0" rIns="0" bIns="0"/>
                <a:lstStyle/>
                <a:p>
                  <a:pPr algn="ctr" rtl="0">
                    <a:defRPr sz="2000">
                      <a:solidFill>
                        <a:schemeClr val="bg1"/>
                      </a:solidFill>
                    </a:defRPr>
                  </a:pPr>
                  <a:r>
                    <a:rPr sz="2000">
                      <a:solidFill>
                        <a:schemeClr val="bg1"/>
                      </a:solidFill>
                    </a:rPr>
                    <a:t>Realty Income Corporation</a:t>
                  </a:r>
                </a:p>
              </cx:txPr>
            </cx:dataLabel>
            <cx:dataLabel idx="6">
              <cx:txPr>
                <a:bodyPr vertOverflow="overflow" horzOverflow="overflow" wrap="square" lIns="0" tIns="0" rIns="0" bIns="0"/>
                <a:lstStyle/>
                <a:p>
                  <a:pPr algn="ctr" rtl="0">
                    <a:defRPr sz="2800">
                      <a:solidFill>
                        <a:schemeClr val="bg1"/>
                      </a:solidFill>
                    </a:defRPr>
                  </a:pPr>
                  <a:r>
                    <a:rPr sz="2800">
                      <a:solidFill>
                        <a:schemeClr val="bg1"/>
                      </a:solidFill>
                    </a:rPr>
                    <a:t>Public Storage</a:t>
                  </a:r>
                </a:p>
              </cx:txPr>
            </cx:dataLabel>
            <cx:dataLabel idx="7">
              <cx:txPr>
                <a:bodyPr vertOverflow="overflow" horzOverflow="overflow" wrap="square" lIns="0" tIns="0" rIns="0" bIns="0"/>
                <a:lstStyle/>
                <a:p>
                  <a:pPr algn="ctr" rtl="0">
                    <a:defRPr sz="2000">
                      <a:solidFill>
                        <a:schemeClr val="bg1"/>
                      </a:solidFill>
                    </a:defRPr>
                  </a:pPr>
                  <a:r>
                    <a:rPr sz="2000">
                      <a:solidFill>
                        <a:schemeClr val="bg1"/>
                      </a:solidFill>
                    </a:rPr>
                    <a:t>Digital Realty Trust, Inc.</a:t>
                  </a:r>
                </a:p>
              </cx:txPr>
            </cx:dataLabel>
            <cx:dataLabel idx="9">
              <cx:txPr>
                <a:bodyPr vertOverflow="overflow" horzOverflow="overflow" wrap="square" lIns="0" tIns="0" rIns="0" bIns="0"/>
                <a:lstStyle/>
                <a:p>
                  <a:pPr algn="ctr" rtl="0">
                    <a:defRPr sz="2400">
                      <a:solidFill>
                        <a:schemeClr val="bg1"/>
                      </a:solidFill>
                    </a:defRPr>
                  </a:pPr>
                  <a:r>
                    <a:rPr sz="2400">
                      <a:solidFill>
                        <a:schemeClr val="bg1"/>
                      </a:solidFill>
                    </a:rPr>
                    <a:t>Cbre Group, Inc.</a:t>
                  </a:r>
                </a:p>
              </cx:txPr>
            </cx:dataLabel>
            <cx:dataLabel idx="10">
              <cx:txPr>
                <a:bodyPr vertOverflow="overflow" horzOverflow="overflow" wrap="square" lIns="0" tIns="0" rIns="0" bIns="0"/>
                <a:lstStyle/>
                <a:p>
                  <a:pPr algn="ctr" rtl="0">
                    <a:defRPr sz="2400">
                      <a:solidFill>
                        <a:schemeClr val="bg1"/>
                      </a:solidFill>
                    </a:defRPr>
                  </a:pPr>
                  <a:r>
                    <a:rPr sz="2400">
                      <a:solidFill>
                        <a:schemeClr val="bg1"/>
                      </a:solidFill>
                    </a:rPr>
                    <a:t>D.R. Horton Inc.</a:t>
                  </a:r>
                </a:p>
              </cx:txPr>
            </cx:dataLabel>
            <cx:dataLabel idx="11">
              <cx:txPr>
                <a:bodyPr vertOverflow="overflow" horzOverflow="overflow" wrap="square" lIns="0" tIns="0" rIns="0" bIns="0"/>
                <a:lstStyle/>
                <a:p>
                  <a:pPr algn="ctr" rtl="0">
                    <a:defRPr sz="1800">
                      <a:solidFill>
                        <a:schemeClr val="bg1"/>
                      </a:solidFill>
                    </a:defRPr>
                  </a:pPr>
                  <a:r>
                    <a:rPr sz="1800">
                      <a:solidFill>
                        <a:schemeClr val="bg1"/>
                      </a:solidFill>
                    </a:rPr>
                    <a:t>Vici Properties Inc.</a:t>
                  </a:r>
                </a:p>
              </cx:txPr>
            </cx:dataLabel>
            <cx:dataLabel idx="12">
              <cx:txPr>
                <a:bodyPr vertOverflow="overflow" horzOverflow="overflow" wrap="square" lIns="0" tIns="0" rIns="0" bIns="0"/>
                <a:lstStyle/>
                <a:p>
                  <a:pPr algn="ctr" rtl="0">
                    <a:defRPr sz="2000">
                      <a:solidFill>
                        <a:schemeClr val="bg1"/>
                      </a:solidFill>
                    </a:defRPr>
                  </a:pPr>
                  <a:r>
                    <a:rPr sz="2000">
                      <a:solidFill>
                        <a:schemeClr val="bg1"/>
                      </a:solidFill>
                    </a:rPr>
                    <a:t>Extra Space Storage, Inc.</a:t>
                  </a:r>
                </a:p>
              </cx:txPr>
            </cx:dataLabel>
            <cx:dataLabel idx="14">
              <cx:txPr>
                <a:bodyPr vertOverflow="overflow" horzOverflow="overflow" wrap="square" lIns="0" tIns="0" rIns="0" bIns="0"/>
                <a:lstStyle/>
                <a:p>
                  <a:pPr algn="ctr" rtl="0">
                    <a:defRPr sz="1800">
                      <a:solidFill>
                        <a:schemeClr val="bg1"/>
                      </a:solidFill>
                    </a:defRPr>
                  </a:pPr>
                  <a:r>
                    <a:rPr sz="1800">
                      <a:solidFill>
                        <a:schemeClr val="bg1"/>
                      </a:solidFill>
                    </a:rPr>
                    <a:t>Lennar Corporation Class A</a:t>
                  </a:r>
                </a:p>
              </cx:txPr>
            </cx:dataLabel>
            <cx:dataLabel idx="15">
              <cx:txPr>
                <a:bodyPr vertOverflow="overflow" horzOverflow="overflow" wrap="square" lIns="0" tIns="0" rIns="0" bIns="0"/>
                <a:lstStyle/>
                <a:p>
                  <a:pPr algn="ctr" rtl="0">
                    <a:defRPr sz="2400">
                      <a:solidFill>
                        <a:schemeClr val="bg1"/>
                      </a:solidFill>
                    </a:defRPr>
                  </a:pPr>
                  <a:r>
                    <a:rPr sz="2400">
                      <a:solidFill>
                        <a:schemeClr val="bg1"/>
                      </a:solidFill>
                    </a:rPr>
                    <a:t>Ventas, Inc.</a:t>
                  </a:r>
                </a:p>
              </cx:txPr>
            </cx:dataLabel>
            <cx:dataLabel idx="16">
              <cx:txPr>
                <a:bodyPr vertOverflow="overflow" horzOverflow="overflow" wrap="square" lIns="0" tIns="0" rIns="0" bIns="0"/>
                <a:lstStyle/>
                <a:p>
                  <a:pPr algn="ctr" rtl="0">
                    <a:defRPr sz="1600">
                      <a:solidFill>
                        <a:schemeClr val="bg1"/>
                      </a:solidFill>
                    </a:defRPr>
                  </a:pPr>
                  <a:r>
                    <a:rPr sz="1600">
                      <a:solidFill>
                        <a:schemeClr val="bg1"/>
                      </a:solidFill>
                    </a:rPr>
                    <a:t>Equity Residential</a:t>
                  </a:r>
                </a:p>
              </cx:txPr>
            </cx:dataLabel>
            <cx:dataLabel idx="18">
              <cx:txPr>
                <a:bodyPr vertOverflow="overflow" horzOverflow="overflow" wrap="square" lIns="0" tIns="0" rIns="0" bIns="0"/>
                <a:lstStyle/>
                <a:p>
                  <a:pPr algn="ctr" rtl="0">
                    <a:defRPr sz="1800">
                      <a:solidFill>
                        <a:schemeClr val="bg1"/>
                      </a:solidFill>
                    </a:defRPr>
                  </a:pPr>
                  <a:r>
                    <a:rPr sz="1800">
                      <a:solidFill>
                        <a:schemeClr val="bg1"/>
                      </a:solidFill>
                    </a:rPr>
                    <a:t>Sba Communications Corp</a:t>
                  </a:r>
                </a:p>
              </cx:txPr>
            </cx:dataLabel>
          </cx:dataLabels>
          <cx:dataId val="0"/>
          <cx:layoutPr>
            <cx:parentLabelLayout val="overlapping"/>
          </cx:layoutPr>
        </cx:series>
      </cx:plotAreaRegion>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_xlchart.v1.11</cx:f>
      </cx:numDim>
    </cx:data>
  </cx:chartData>
  <cx:chart>
    <cx:title pos="t" align="ctr" overlay="0">
      <cx:tx>
        <cx:txData>
          <cx:v>Banking &amp; Financial Services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Banking &amp; Financial Services</a:t>
          </a:r>
        </a:p>
      </cx:txPr>
    </cx:title>
    <cx:plotArea>
      <cx:plotAreaRegion>
        <cx:series layoutId="treemap" uniqueId="{3BD2941A-4244-4F17-A1D8-34F80754DADC}">
          <cx:dataPt idx="0">
            <cx:spPr>
              <a:solidFill>
                <a:srgbClr val="0096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960000"/>
              </a:solidFill>
            </cx:spPr>
          </cx:dataPt>
          <cx:dataPt idx="5">
            <cx:spPr>
              <a:solidFill>
                <a:srgbClr val="960000"/>
              </a:solidFill>
            </cx:spPr>
          </cx:dataPt>
          <cx:dataPt idx="6">
            <cx:spPr>
              <a:solidFill>
                <a:srgbClr val="960000"/>
              </a:solidFill>
            </cx:spPr>
          </cx:dataPt>
          <cx:dataPt idx="7">
            <cx:spPr>
              <a:solidFill>
                <a:srgbClr val="960000"/>
              </a:solidFill>
            </cx:spPr>
          </cx:dataPt>
          <cx:dataPt idx="8">
            <cx:spPr>
              <a:solidFill>
                <a:srgbClr val="960000"/>
              </a:solidFill>
            </cx:spPr>
          </cx:dataPt>
          <cx:dataPt idx="9">
            <cx:spPr>
              <a:solidFill>
                <a:srgbClr val="960000"/>
              </a:solidFill>
            </cx:spPr>
          </cx:dataPt>
          <cx:dataPt idx="10">
            <cx:spPr>
              <a:solidFill>
                <a:srgbClr val="960000"/>
              </a:solidFill>
            </cx:spPr>
          </cx:dataPt>
          <cx:dataPt idx="11">
            <cx:spPr>
              <a:solidFill>
                <a:srgbClr val="960000"/>
              </a:solidFill>
            </cx:spPr>
          </cx:dataPt>
          <cx:dataPt idx="12">
            <cx:spPr>
              <a:solidFill>
                <a:srgbClr val="960000"/>
              </a:solidFill>
            </cx:spPr>
          </cx:dataPt>
          <cx:dataPt idx="13">
            <cx:spPr>
              <a:solidFill>
                <a:srgbClr val="960000"/>
              </a:solidFill>
            </cx:spPr>
          </cx:dataPt>
          <cx:dataPt idx="14">
            <cx:spPr>
              <a:solidFill>
                <a:srgbClr val="960000"/>
              </a:solidFill>
            </cx:spPr>
          </cx:dataPt>
          <cx:dataPt idx="15">
            <cx:spPr>
              <a:solidFill>
                <a:srgbClr val="960000"/>
              </a:solidFill>
            </cx:spPr>
          </cx:dataPt>
          <cx:dataPt idx="16">
            <cx:spPr>
              <a:solidFill>
                <a:srgbClr val="960000"/>
              </a:solidFill>
            </cx:spPr>
          </cx:dataPt>
          <cx:dataPt idx="17">
            <cx:spPr>
              <a:solidFill>
                <a:srgbClr val="960000"/>
              </a:solidFill>
            </cx:spPr>
          </cx:dataPt>
          <cx:dataPt idx="18">
            <cx:spPr>
              <a:solidFill>
                <a:srgbClr val="960000"/>
              </a:solidFill>
            </cx:spPr>
          </cx:dataPt>
          <cx:dataPt idx="19">
            <cx:spPr>
              <a:solidFill>
                <a:srgbClr val="960000"/>
              </a:solidFill>
            </cx:spPr>
          </cx:dataPt>
          <cx:dataPt idx="20">
            <cx:spPr>
              <a:solidFill>
                <a:srgbClr val="960000"/>
              </a:solidFill>
            </cx:spPr>
          </cx:dataPt>
          <cx:dataPt idx="21">
            <cx:spPr>
              <a:solidFill>
                <a:srgbClr val="960000"/>
              </a:solidFill>
            </cx:spPr>
          </cx:dataPt>
          <cx:dataPt idx="22">
            <cx:spPr>
              <a:solidFill>
                <a:srgbClr val="960000"/>
              </a:solidFill>
            </cx:spPr>
          </cx:dataPt>
          <cx:dataPt idx="23">
            <cx:spPr>
              <a:solidFill>
                <a:srgbClr val="960000"/>
              </a:solidFill>
            </cx:spPr>
          </cx:dataPt>
          <cx:dataPt idx="24">
            <cx:spPr>
              <a:solidFill>
                <a:srgbClr val="960000"/>
              </a:solidFill>
            </cx:spPr>
          </cx:dataPt>
          <cx:dataPt idx="25">
            <cx:spPr>
              <a:solidFill>
                <a:srgbClr val="960000"/>
              </a:solidFill>
            </cx:spPr>
          </cx:dataPt>
          <cx:dataPt idx="26">
            <cx:spPr>
              <a:solidFill>
                <a:srgbClr val="960000"/>
              </a:solidFill>
            </cx:spPr>
          </cx:dataPt>
          <cx:dataPt idx="27">
            <cx:spPr>
              <a:solidFill>
                <a:srgbClr val="960000"/>
              </a:solidFill>
            </cx:spPr>
          </cx:dataPt>
          <cx:dataPt idx="28">
            <cx:spPr>
              <a:solidFill>
                <a:srgbClr val="960000"/>
              </a:solidFill>
            </cx:spPr>
          </cx:dataPt>
          <cx:dataPt idx="29">
            <cx:spPr>
              <a:solidFill>
                <a:srgbClr val="960000"/>
              </a:solidFill>
            </cx:spPr>
          </cx:dataPt>
          <cx:dataPt idx="30">
            <cx:spPr>
              <a:solidFill>
                <a:srgbClr val="960000"/>
              </a:solidFill>
            </cx:spPr>
          </cx:dataPt>
          <cx:dataPt idx="31">
            <cx:spPr>
              <a:solidFill>
                <a:srgbClr val="960000"/>
              </a:solidFill>
            </cx:spPr>
          </cx:dataPt>
          <cx:dataPt idx="32">
            <cx:spPr>
              <a:solidFill>
                <a:srgbClr val="960000"/>
              </a:solidFill>
            </cx:spPr>
          </cx:dataPt>
          <cx:dataPt idx="33">
            <cx:spPr>
              <a:solidFill>
                <a:srgbClr val="960000"/>
              </a:solidFill>
            </cx:spPr>
          </cx:dataPt>
          <cx:dataPt idx="34">
            <cx:spPr>
              <a:solidFill>
                <a:srgbClr val="960000"/>
              </a:solidFill>
            </cx:spPr>
          </cx:dataPt>
          <cx:dataPt idx="35">
            <cx:spPr>
              <a:solidFill>
                <a:srgbClr val="960000"/>
              </a:solidFill>
            </cx:spPr>
          </cx:dataPt>
          <cx:dataPt idx="36">
            <cx:spPr>
              <a:solidFill>
                <a:srgbClr val="960000"/>
              </a:solidFill>
            </cx:spPr>
          </cx:dataPt>
          <cx:dataPt idx="37">
            <cx:spPr>
              <a:solidFill>
                <a:srgbClr val="960000"/>
              </a:solidFill>
            </cx:spPr>
          </cx:dataPt>
          <cx:dataPt idx="38">
            <cx:spPr>
              <a:solidFill>
                <a:srgbClr val="960000"/>
              </a:solidFill>
            </cx:spPr>
          </cx:dataPt>
          <cx:dataPt idx="39">
            <cx:spPr>
              <a:solidFill>
                <a:srgbClr val="960000"/>
              </a:solidFill>
            </cx:spPr>
          </cx:dataPt>
          <cx:dataPt idx="40">
            <cx:spPr>
              <a:solidFill>
                <a:srgbClr val="960000"/>
              </a:solidFill>
            </cx:spPr>
          </cx:dataPt>
          <cx:dataPt idx="41">
            <cx:spPr>
              <a:solidFill>
                <a:srgbClr val="960000"/>
              </a:solidFill>
            </cx:spPr>
          </cx:dataPt>
          <cx:dataPt idx="42">
            <cx:spPr>
              <a:solidFill>
                <a:srgbClr val="960000"/>
              </a:solidFill>
            </cx:spPr>
          </cx:dataPt>
          <cx:dataPt idx="43">
            <cx:spPr>
              <a:solidFill>
                <a:srgbClr val="960000"/>
              </a:solidFill>
            </cx:spPr>
          </cx:dataPt>
          <cx:dataPt idx="44">
            <cx:spPr>
              <a:solidFill>
                <a:srgbClr val="960000"/>
              </a:solidFill>
            </cx:spPr>
          </cx:dataPt>
          <cx:dataPt idx="45">
            <cx:spPr>
              <a:solidFill>
                <a:srgbClr val="960000"/>
              </a:solidFill>
            </cx:spPr>
          </cx:dataPt>
          <cx:dataPt idx="46">
            <cx:spPr>
              <a:solidFill>
                <a:srgbClr val="960000"/>
              </a:solidFill>
            </cx:spPr>
          </cx:dataPt>
          <cx:dataPt idx="47">
            <cx:spPr>
              <a:solidFill>
                <a:srgbClr val="960000"/>
              </a:solidFill>
            </cx:spPr>
          </cx:dataPt>
          <cx:dataPt idx="48">
            <cx:spPr>
              <a:solidFill>
                <a:srgbClr val="960000"/>
              </a:solidFill>
            </cx:spPr>
          </cx:dataPt>
          <cx:dataPt idx="49">
            <cx:spPr>
              <a:solidFill>
                <a:srgbClr val="960000"/>
              </a:solidFill>
            </cx:spPr>
          </cx:dataPt>
          <cx:dataPt idx="50">
            <cx:spPr>
              <a:solidFill>
                <a:srgbClr val="960000"/>
              </a:solidFill>
            </cx:spPr>
          </cx:dataPt>
          <cx:dataPt idx="51">
            <cx:spPr>
              <a:solidFill>
                <a:srgbClr val="960000"/>
              </a:solidFill>
            </cx:spPr>
          </cx:dataPt>
          <cx:dataPt idx="52">
            <cx:spPr>
              <a:solidFill>
                <a:srgbClr val="960000"/>
              </a:solidFill>
            </cx:spPr>
          </cx:dataPt>
          <cx:dataPt idx="53">
            <cx:spPr>
              <a:solidFill>
                <a:srgbClr val="960000"/>
              </a:solidFill>
            </cx:spPr>
          </cx:dataPt>
          <cx:dataPt idx="54">
            <cx:spPr>
              <a:solidFill>
                <a:srgbClr val="960000"/>
              </a:solidFill>
            </cx:spPr>
          </cx:dataPt>
          <cx:dataPt idx="55">
            <cx:spPr>
              <a:solidFill>
                <a:srgbClr val="960000"/>
              </a:solidFill>
            </cx:spPr>
          </cx:dataPt>
          <cx:dataPt idx="56">
            <cx:spPr>
              <a:solidFill>
                <a:srgbClr val="960000"/>
              </a:solidFill>
            </cx:spPr>
          </cx:dataPt>
          <cx:dataPt idx="57">
            <cx:spPr>
              <a:solidFill>
                <a:srgbClr val="960000"/>
              </a:solidFill>
            </cx:spPr>
          </cx:dataPt>
          <cx:dataPt idx="58">
            <cx:spPr>
              <a:solidFill>
                <a:srgbClr val="960000"/>
              </a:solidFill>
            </cx:spPr>
          </cx:dataPt>
          <cx:dataPt idx="59">
            <cx:spPr>
              <a:solidFill>
                <a:srgbClr val="960000"/>
              </a:solidFill>
            </cx:spPr>
          </cx:dataPt>
          <cx:dataPt idx="60">
            <cx:spPr>
              <a:solidFill>
                <a:srgbClr val="960000"/>
              </a:solidFill>
            </cx:spPr>
          </cx:dataPt>
          <cx:dataLabels pos="inEnd">
            <cx:txPr>
              <a:bodyPr vertOverflow="overflow" horzOverflow="overflow" wrap="square" lIns="0" tIns="0" rIns="0" bIns="0"/>
              <a:lstStyle/>
              <a:p>
                <a:pPr algn="ctr" rtl="0">
                  <a:defRPr sz="14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sz="1400"/>
              </a:p>
            </cx:txPr>
            <cx:visibility seriesName="0" categoryName="1" value="0"/>
            <cx:dataLabel idx="0">
              <cx:txPr>
                <a:bodyPr vertOverflow="overflow" horzOverflow="overflow" wrap="square" lIns="0" tIns="0" rIns="0" bIns="0"/>
                <a:lstStyle/>
                <a:p>
                  <a:pPr algn="ctr" rtl="0">
                    <a:defRPr sz="5400">
                      <a:solidFill>
                        <a:schemeClr val="bg1"/>
                      </a:solidFill>
                    </a:defRPr>
                  </a:pPr>
                  <a:r>
                    <a:rPr sz="5400">
                      <a:solidFill>
                        <a:schemeClr val="bg1"/>
                      </a:solidFill>
                    </a:rPr>
                    <a:t>Jpmorgan Chase &amp; Co.</a:t>
                  </a:r>
                </a:p>
              </cx:txPr>
            </cx:dataLabel>
            <cx:dataLabel idx="1">
              <cx:txPr>
                <a:bodyPr vertOverflow="overflow" horzOverflow="overflow" wrap="square" lIns="0" tIns="0" rIns="0" bIns="0"/>
                <a:lstStyle/>
                <a:p>
                  <a:pPr algn="ctr" rtl="0">
                    <a:defRPr sz="4000">
                      <a:solidFill>
                        <a:schemeClr val="bg1"/>
                      </a:solidFill>
                    </a:defRPr>
                  </a:pPr>
                  <a:r>
                    <a:rPr sz="4000">
                      <a:solidFill>
                        <a:schemeClr val="bg1"/>
                      </a:solidFill>
                    </a:rPr>
                    <a:t>Bank of America Corporation</a:t>
                  </a:r>
                </a:p>
              </cx:txPr>
            </cx:dataLabel>
          </cx:dataLabels>
          <cx:dataId val="0"/>
          <cx:layoutPr>
            <cx:parentLabelLayout val="overlapping"/>
          </cx:layoutPr>
        </cx:series>
      </cx:plotAreaRegion>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_xlchart.v1.19</cx:f>
      </cx:numDim>
    </cx:data>
  </cx:chartData>
  <cx:chart>
    <cx:title pos="t" align="ctr" overlay="0">
      <cx:tx>
        <cx:rich>
          <a:bodyPr spcFirstLastPara="1" vertOverflow="ellipsis" horzOverflow="overflow" wrap="square" lIns="0" tIns="0" rIns="0" bIns="0" anchor="ctr" anchorCtr="1"/>
          <a:lstStyle/>
          <a:p>
            <a:pPr algn="ctr" rtl="0">
              <a:defRPr sz="1100" b="0"/>
            </a:pPr>
            <a:r>
              <a:rPr lang="en-CA" sz="11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Biotechnology &amp; Chemicals</a:t>
            </a:r>
            <a:r>
              <a:rPr lang="en-CA" sz="1100" b="0"/>
              <a:t> </a:t>
            </a:r>
            <a:endParaRPr lang="en-US" sz="1100" b="0" i="0" u="none" strike="noStrike" baseline="0">
              <a:solidFill>
                <a:sysClr val="windowText" lastClr="000000">
                  <a:lumMod val="65000"/>
                  <a:lumOff val="35000"/>
                </a:sysClr>
              </a:solidFill>
              <a:latin typeface="Calibri" panose="020F0502020204030204"/>
            </a:endParaRPr>
          </a:p>
        </cx:rich>
      </cx:tx>
    </cx:title>
    <cx:plotArea>
      <cx:plotAreaRegion>
        <cx:series layoutId="treemap" uniqueId="{89A26B9F-9ACF-4CC8-A323-E1FC00FC329A}">
          <cx:dataPt idx="0">
            <cx:spPr>
              <a:solidFill>
                <a:srgbClr val="0096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960000"/>
              </a:solidFill>
            </cx:spPr>
          </cx:dataPt>
          <cx:dataPt idx="5">
            <cx:spPr>
              <a:solidFill>
                <a:srgbClr val="009600"/>
              </a:solidFill>
            </cx:spPr>
          </cx:dataPt>
          <cx:dataPt idx="6">
            <cx:spPr>
              <a:solidFill>
                <a:srgbClr val="960000"/>
              </a:solidFill>
            </cx:spPr>
          </cx:dataPt>
          <cx:dataPt idx="7">
            <cx:spPr>
              <a:solidFill>
                <a:srgbClr val="009600"/>
              </a:solidFill>
            </cx:spPr>
          </cx:dataPt>
          <cx:dataPt idx="8">
            <cx:spPr>
              <a:solidFill>
                <a:srgbClr val="009600"/>
              </a:solidFill>
            </cx:spPr>
          </cx:dataPt>
          <cx:dataPt idx="9">
            <cx:spPr>
              <a:solidFill>
                <a:srgbClr val="009600"/>
              </a:solidFill>
            </cx:spPr>
          </cx:dataPt>
          <cx:dataPt idx="10">
            <cx:spPr>
              <a:solidFill>
                <a:srgbClr val="960000"/>
              </a:solidFill>
            </cx:spPr>
          </cx:dataPt>
          <cx:dataPt idx="11">
            <cx:spPr>
              <a:solidFill>
                <a:srgbClr val="960000"/>
              </a:solidFill>
            </cx:spPr>
          </cx:dataPt>
          <cx:dataPt idx="12">
            <cx:spPr>
              <a:solidFill>
                <a:srgbClr val="960000"/>
              </a:solidFill>
            </cx:spPr>
          </cx:dataPt>
          <cx:dataPt idx="13">
            <cx:spPr>
              <a:solidFill>
                <a:srgbClr val="960000"/>
              </a:solidFill>
            </cx:spPr>
          </cx:dataPt>
          <cx:dataPt idx="14">
            <cx:spPr>
              <a:solidFill>
                <a:srgbClr val="960000"/>
              </a:solidFill>
            </cx:spPr>
          </cx:dataPt>
          <cx:dataPt idx="15">
            <cx:spPr>
              <a:solidFill>
                <a:srgbClr val="960000"/>
              </a:solidFill>
            </cx:spPr>
          </cx:dataPt>
          <cx:dataPt idx="16">
            <cx:spPr>
              <a:solidFill>
                <a:srgbClr val="960000"/>
              </a:solidFill>
            </cx:spPr>
          </cx:dataPt>
          <cx:dataPt idx="17">
            <cx:spPr>
              <a:solidFill>
                <a:srgbClr val="009600"/>
              </a:solidFill>
            </cx:spPr>
          </cx:dataPt>
          <cx:dataPt idx="18">
            <cx:spPr>
              <a:solidFill>
                <a:srgbClr val="960000"/>
              </a:solidFill>
            </cx:spPr>
          </cx:dataPt>
          <cx:dataPt idx="19">
            <cx:spPr>
              <a:solidFill>
                <a:srgbClr val="009600"/>
              </a:solidFill>
            </cx:spPr>
          </cx:dataPt>
          <cx:dataLabels pos="inEnd">
            <cx:txPr>
              <a:bodyPr spcFirstLastPara="1" vertOverflow="ellipsis" horzOverflow="overflow" wrap="square" lIns="0" tIns="0" rIns="0" bIns="0" anchor="ctr" anchorCtr="1"/>
              <a:lstStyle/>
              <a:p>
                <a:pPr algn="ctr" rtl="0">
                  <a:defRPr sz="1050"/>
                </a:pPr>
                <a:endParaRPr lang="en-US" sz="1050" b="0" i="0" u="none" strike="noStrike" baseline="0">
                  <a:solidFill>
                    <a:sysClr val="window" lastClr="FFFFFF"/>
                  </a:solidFill>
                  <a:latin typeface="Calibri" panose="020F0502020204030204"/>
                </a:endParaRPr>
              </a:p>
            </cx:txPr>
            <cx:visibility seriesName="0" categoryName="1" value="0"/>
          </cx:dataLabels>
          <cx:dataId val="0"/>
          <cx:layoutPr>
            <cx:parentLabelLayout val="overlapping"/>
          </cx:layoutPr>
        </cx:series>
      </cx:plotAreaRegion>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_xlchart.v1.36</cx:f>
      </cx:strDim>
      <cx:numDim type="size">
        <cx:f>_xlchart.v1.37</cx:f>
      </cx:numDim>
    </cx:data>
  </cx:chartData>
  <cx:chart>
    <cx:title pos="t" align="ctr" overlay="0">
      <cx:tx>
        <cx:txData>
          <cx:v>Pharmaceuticals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Pharmaceuticals</a:t>
          </a:r>
        </a:p>
      </cx:txPr>
    </cx:title>
    <cx:plotArea>
      <cx:plotAreaRegion>
        <cx:series layoutId="treemap" uniqueId="{A4FA4334-3737-4684-A317-0B0F5331F686}">
          <cx:dataPt idx="0">
            <cx:spPr>
              <a:solidFill>
                <a:srgbClr val="960000"/>
              </a:solidFill>
            </cx:spPr>
          </cx:dataPt>
          <cx:dataPt idx="1">
            <cx:spPr>
              <a:solidFill>
                <a:srgbClr val="009600"/>
              </a:solidFill>
            </cx:spPr>
          </cx:dataPt>
          <cx:dataPt idx="2">
            <cx:spPr>
              <a:solidFill>
                <a:srgbClr val="009600"/>
              </a:solidFill>
            </cx:spPr>
          </cx:dataPt>
          <cx:dataPt idx="3">
            <cx:spPr>
              <a:solidFill>
                <a:srgbClr val="960000"/>
              </a:solidFill>
            </cx:spPr>
          </cx:dataPt>
          <cx:dataPt idx="4">
            <cx:spPr>
              <a:solidFill>
                <a:srgbClr val="960000"/>
              </a:solidFill>
            </cx:spPr>
          </cx:dataPt>
          <cx:dataPt idx="5">
            <cx:spPr>
              <a:solidFill>
                <a:srgbClr val="009600"/>
              </a:solidFill>
            </cx:spPr>
          </cx:dataPt>
          <cx:dataPt idx="6">
            <cx:spPr>
              <a:solidFill>
                <a:srgbClr val="009600"/>
              </a:solidFill>
            </cx:spPr>
          </cx:dataPt>
          <cx:dataPt idx="7">
            <cx:spPr>
              <a:solidFill>
                <a:srgbClr val="960000"/>
              </a:solidFill>
            </cx:spPr>
          </cx:dataPt>
          <cx:dataPt idx="8">
            <cx:spPr>
              <a:solidFill>
                <a:srgbClr val="009600"/>
              </a:solidFill>
            </cx:spPr>
          </cx:dataPt>
          <cx:dataPt idx="9">
            <cx:spPr>
              <a:solidFill>
                <a:srgbClr val="009600"/>
              </a:solidFill>
            </cx:spPr>
          </cx:dataPt>
          <cx:dataPt idx="10">
            <cx:spPr>
              <a:solidFill>
                <a:srgbClr val="009600"/>
              </a:solidFill>
            </cx:spPr>
          </cx:dataPt>
          <cx:dataPt idx="11">
            <cx:spPr>
              <a:solidFill>
                <a:srgbClr val="960000"/>
              </a:solidFill>
            </cx:spPr>
          </cx:dataPt>
          <cx:dataPt idx="12">
            <cx:spPr>
              <a:solidFill>
                <a:srgbClr val="960000"/>
              </a:solidFill>
            </cx:spPr>
          </cx:dataPt>
          <cx:dataPt idx="13">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title pos="t" align="ctr" overlay="0">
      <cx:tx>
        <cx:txData>
          <cx:v>Food &amp; Tobacco</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Food &amp; Tobacco</a:t>
          </a:r>
        </a:p>
      </cx:txPr>
    </cx:title>
    <cx:plotArea>
      <cx:plotAreaRegion>
        <cx:series layoutId="treemap" uniqueId="{3E770427-BE91-4E34-B5DA-9A359E93EF55}">
          <cx:dataPt idx="0">
            <cx:spPr>
              <a:solidFill>
                <a:srgbClr val="009600"/>
              </a:solidFill>
            </cx:spPr>
          </cx:dataPt>
          <cx:dataPt idx="1">
            <cx:spPr>
              <a:solidFill>
                <a:srgbClr val="009600"/>
              </a:solidFill>
            </cx:spPr>
          </cx:dataPt>
          <cx:dataPt idx="2">
            <cx:spPr>
              <a:solidFill>
                <a:srgbClr val="009600"/>
              </a:solidFill>
            </cx:spPr>
          </cx:dataPt>
          <cx:dataPt idx="3">
            <cx:spPr>
              <a:solidFill>
                <a:srgbClr val="009600"/>
              </a:solidFill>
            </cx:spPr>
          </cx:dataPt>
          <cx:dataPt idx="4">
            <cx:spPr>
              <a:solidFill>
                <a:srgbClr val="960000"/>
              </a:solidFill>
            </cx:spPr>
          </cx:dataPt>
          <cx:dataPt idx="5">
            <cx:spPr>
              <a:solidFill>
                <a:srgbClr val="009600"/>
              </a:solidFill>
            </cx:spPr>
          </cx:dataPt>
          <cx:dataPt idx="6">
            <cx:spPr>
              <a:solidFill>
                <a:srgbClr val="960000"/>
              </a:solidFill>
            </cx:spPr>
          </cx:dataPt>
          <cx:dataPt idx="7">
            <cx:spPr>
              <a:solidFill>
                <a:srgbClr val="009600"/>
              </a:solidFill>
            </cx:spPr>
          </cx:dataPt>
          <cx:dataPt idx="8">
            <cx:spPr>
              <a:solidFill>
                <a:srgbClr val="960000"/>
              </a:solidFill>
            </cx:spPr>
          </cx:dataPt>
          <cx:dataPt idx="9">
            <cx:spPr>
              <a:solidFill>
                <a:srgbClr val="960000"/>
              </a:solidFill>
            </cx:spPr>
          </cx:dataPt>
          <cx:dataPt idx="10">
            <cx:spPr>
              <a:solidFill>
                <a:srgbClr val="009600"/>
              </a:solidFill>
            </cx:spPr>
          </cx:dataPt>
          <cx:dataPt idx="11">
            <cx:spPr>
              <a:solidFill>
                <a:srgbClr val="009600"/>
              </a:solidFill>
            </cx:spPr>
          </cx:dataPt>
          <cx:dataPt idx="12">
            <cx:spPr>
              <a:solidFill>
                <a:srgbClr val="009600"/>
              </a:solidFill>
            </cx:spPr>
          </cx:dataPt>
          <cx:dataPt idx="13">
            <cx:spPr>
              <a:solidFill>
                <a:srgbClr val="009600"/>
              </a:solidFill>
            </cx:spPr>
          </cx:dataPt>
          <cx:dataPt idx="14">
            <cx:spPr>
              <a:solidFill>
                <a:srgbClr val="960000"/>
              </a:solidFill>
            </cx:spPr>
          </cx:dataPt>
          <cx:dataPt idx="15">
            <cx:spPr>
              <a:solidFill>
                <a:srgbClr val="960000"/>
              </a:solidFill>
            </cx:spPr>
          </cx:dataPt>
          <cx:dataPt idx="16">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strDim type="cat">
        <cx:f>_xlchart.v1.20</cx:f>
      </cx:strDim>
      <cx:numDim type="size">
        <cx:f>_xlchart.v1.21</cx:f>
      </cx:numDim>
    </cx:data>
  </cx:chartData>
  <cx:chart>
    <cx:title pos="t" align="ctr" overlay="0">
      <cx:tx>
        <cx:txData>
          <cx:v>Aerospace &amp; Defense</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Aerospace &amp; Defense</a:t>
          </a:r>
        </a:p>
      </cx:txPr>
    </cx:title>
    <cx:plotArea>
      <cx:plotAreaRegion>
        <cx:series layoutId="treemap" uniqueId="{02277710-1A77-4DCE-A3EF-ADEF1C2C48D0}">
          <cx:dataPt idx="0">
            <cx:spPr>
              <a:solidFill>
                <a:srgbClr val="0096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009600"/>
              </a:solidFill>
            </cx:spPr>
          </cx:dataPt>
          <cx:dataPt idx="5">
            <cx:spPr>
              <a:solidFill>
                <a:srgbClr val="960000"/>
              </a:solidFill>
            </cx:spPr>
          </cx:dataPt>
          <cx:dataPt idx="6">
            <cx:spPr>
              <a:solidFill>
                <a:srgbClr val="960000"/>
              </a:solidFill>
            </cx:spPr>
          </cx:dataPt>
          <cx:dataPt idx="7">
            <cx:spPr>
              <a:solidFill>
                <a:srgbClr val="009600"/>
              </a:solidFill>
            </cx:spPr>
          </cx:dataPt>
          <cx:dataPt idx="8">
            <cx:spPr>
              <a:solidFill>
                <a:srgbClr val="960000"/>
              </a:solidFill>
            </cx:spPr>
          </cx:dataPt>
          <cx:dataPt idx="9">
            <cx:spPr>
              <a:solidFill>
                <a:srgbClr val="009600"/>
              </a:solidFill>
            </cx:spPr>
          </cx:dataPt>
          <cx:dataPt idx="10">
            <cx:spPr>
              <a:solidFill>
                <a:srgbClr val="960000"/>
              </a:solidFill>
            </cx:spPr>
          </cx:dataPt>
          <cx:dataPt idx="11">
            <cx:spPr>
              <a:solidFill>
                <a:srgbClr val="0096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strDim type="cat">
        <cx:f>_xlchart.v1.38</cx:f>
      </cx:strDim>
      <cx:numDim type="size">
        <cx:f>_xlchart.v1.39</cx:f>
      </cx:numDim>
    </cx:data>
  </cx:chartData>
  <cx:chart>
    <cx:title pos="t" align="ctr" overlay="0">
      <cx:tx>
        <cx:txData>
          <cx:v>Automobiles &amp; Auto Parts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Automobiles &amp; Auto Parts</a:t>
          </a:r>
        </a:p>
      </cx:txPr>
    </cx:title>
    <cx:plotArea>
      <cx:plotAreaRegion>
        <cx:series layoutId="treemap" uniqueId="{2256A022-D1D0-42B9-AD24-82B38E37FF16}">
          <cx:dataPt idx="0">
            <cx:spPr>
              <a:solidFill>
                <a:srgbClr val="9600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960000"/>
              </a:solidFill>
            </cx:spPr>
          </cx:dataPt>
          <cx:dataPt idx="5">
            <cx:spPr>
              <a:solidFill>
                <a:srgbClr val="960000"/>
              </a:solidFill>
            </cx:spPr>
          </cx:dataPt>
          <cx:dataPt idx="6">
            <cx:spPr>
              <a:solidFill>
                <a:srgbClr val="960000"/>
              </a:solidFill>
            </cx:spPr>
          </cx:dataPt>
          <cx:dataPt idx="7">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title pos="t" align="ctr" overlay="0">
      <cx:tx>
        <cx:rich>
          <a:bodyPr spcFirstLastPara="1" vertOverflow="ellipsis" horzOverflow="overflow" wrap="square" lIns="0" tIns="0" rIns="0" bIns="0" anchor="ctr" anchorCtr="1"/>
          <a:lstStyle/>
          <a:p>
            <a:pPr algn="ctr" rtl="0">
              <a:defRPr/>
            </a:pPr>
            <a:r>
              <a:rPr lang="en-CA"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Communications &amp; Networking</a:t>
            </a:r>
            <a:r>
              <a:rPr lang="en-CA"/>
              <a:t> </a:t>
            </a:r>
            <a:endParaRPr lang="en-US" sz="1400" b="0" i="0" u="none" strike="noStrike" baseline="0">
              <a:solidFill>
                <a:sysClr val="windowText" lastClr="000000">
                  <a:lumMod val="65000"/>
                  <a:lumOff val="35000"/>
                </a:sysClr>
              </a:solidFill>
              <a:latin typeface="Calibri" panose="020F0502020204030204"/>
            </a:endParaRPr>
          </a:p>
        </cx:rich>
      </cx:tx>
    </cx:title>
    <cx:plotArea>
      <cx:plotAreaRegion>
        <cx:series layoutId="treemap" uniqueId="{4F2912D1-2490-42F3-8E7F-EB315C1FE504}">
          <cx:dataPt idx="0">
            <cx:spPr>
              <a:solidFill>
                <a:srgbClr val="960000"/>
              </a:solidFill>
            </cx:spPr>
          </cx:dataPt>
          <cx:dataPt idx="1">
            <cx:spPr>
              <a:solidFill>
                <a:srgbClr val="960000"/>
              </a:solidFill>
            </cx:spPr>
          </cx:dataPt>
          <cx:dataPt idx="2">
            <cx:spPr>
              <a:solidFill>
                <a:srgbClr val="960000"/>
              </a:solidFill>
            </cx:spPr>
          </cx:dataPt>
          <cx:dataPt idx="3">
            <cx:spPr>
              <a:solidFill>
                <a:srgbClr val="960000"/>
              </a:solidFill>
            </cx:spPr>
          </cx:dataPt>
          <cx:dataPt idx="4">
            <cx:spPr>
              <a:solidFill>
                <a:srgbClr val="009600"/>
              </a:solidFill>
            </cx:spPr>
          </cx:dataPt>
          <cx:dataPt idx="5">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strDim type="cat">
        <cx:f>_xlchart.v1.34</cx:f>
      </cx:strDim>
      <cx:numDim type="size">
        <cx:f>_xlchart.v1.35</cx:f>
      </cx:numDim>
    </cx:data>
  </cx:chartData>
  <cx:chart>
    <cx:title pos="t" align="ctr" overlay="0">
      <cx:tx>
        <cx:rich>
          <a:bodyPr spcFirstLastPara="1" vertOverflow="ellipsis" horzOverflow="overflow" wrap="square" lIns="0" tIns="0" rIns="0" bIns="0" anchor="ctr" anchorCtr="1"/>
          <a:lstStyle/>
          <a:p>
            <a:pPr algn="ctr" rtl="0">
              <a:defRPr b="1"/>
            </a:pPr>
            <a:r>
              <a:rPr lang="en-CA"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Semiconductors &amp; Semiconductor Equipment</a:t>
            </a:r>
            <a:r>
              <a:rPr lang="en-CA"/>
              <a:t> </a:t>
            </a:r>
            <a:endParaRPr lang="en-US" sz="1400" b="1" i="0" u="none" strike="noStrike" baseline="0">
              <a:solidFill>
                <a:sysClr val="windowText" lastClr="000000">
                  <a:lumMod val="65000"/>
                  <a:lumOff val="35000"/>
                </a:sysClr>
              </a:solidFill>
              <a:latin typeface="Calibri" panose="020F0502020204030204"/>
            </a:endParaRPr>
          </a:p>
        </cx:rich>
      </cx:tx>
    </cx:title>
    <cx:plotArea>
      <cx:plotAreaRegion>
        <cx:series layoutId="treemap" uniqueId="{02741647-4D16-4799-BDD2-CC70D4F36525}">
          <cx:dataPt idx="0">
            <cx:spPr>
              <a:solidFill>
                <a:srgbClr val="960000"/>
              </a:solidFill>
            </cx:spPr>
          </cx:dataPt>
          <cx:dataPt idx="1">
            <cx:spPr>
              <a:solidFill>
                <a:srgbClr val="960000"/>
              </a:solidFill>
            </cx:spPr>
          </cx:dataPt>
          <cx:dataPt idx="2">
            <cx:spPr>
              <a:solidFill>
                <a:srgbClr val="960000"/>
              </a:solidFill>
            </cx:spPr>
          </cx:dataPt>
          <cx:dataPt idx="3">
            <cx:spPr>
              <a:solidFill>
                <a:srgbClr val="C83232"/>
              </a:solidFill>
            </cx:spPr>
          </cx:dataPt>
          <cx:dataPt idx="4">
            <cx:spPr>
              <a:solidFill>
                <a:srgbClr val="960000"/>
              </a:solidFill>
            </cx:spPr>
          </cx:dataPt>
          <cx:dataPt idx="5">
            <cx:spPr>
              <a:solidFill>
                <a:srgbClr val="960000"/>
              </a:solidFill>
            </cx:spPr>
          </cx:dataPt>
          <cx:dataPt idx="6">
            <cx:spPr>
              <a:solidFill>
                <a:srgbClr val="960000"/>
              </a:solidFill>
            </cx:spPr>
          </cx:dataPt>
          <cx:dataPt idx="7">
            <cx:spPr>
              <a:solidFill>
                <a:srgbClr val="960000"/>
              </a:solidFill>
            </cx:spPr>
          </cx:dataPt>
          <cx:dataPt idx="8">
            <cx:spPr>
              <a:solidFill>
                <a:srgbClr val="960000"/>
              </a:solidFill>
            </cx:spPr>
          </cx:dataPt>
          <cx:dataPt idx="9">
            <cx:spPr>
              <a:solidFill>
                <a:srgbClr val="960000"/>
              </a:solidFill>
            </cx:spPr>
          </cx:dataPt>
          <cx:dataPt idx="10">
            <cx:spPr>
              <a:solidFill>
                <a:srgbClr val="C83232"/>
              </a:solidFill>
            </cx:spPr>
          </cx:dataPt>
          <cx:dataPt idx="11">
            <cx:spPr>
              <a:solidFill>
                <a:srgbClr val="C83232"/>
              </a:solidFill>
            </cx:spPr>
          </cx:dataPt>
          <cx:dataPt idx="12">
            <cx:spPr>
              <a:solidFill>
                <a:srgbClr val="C83232"/>
              </a:solidFill>
            </cx:spPr>
          </cx:dataPt>
          <cx:dataPt idx="13">
            <cx:spPr>
              <a:solidFill>
                <a:srgbClr val="960000"/>
              </a:solidFill>
            </cx:spPr>
          </cx:dataPt>
          <cx:dataPt idx="14">
            <cx:spPr>
              <a:solidFill>
                <a:srgbClr val="C83232"/>
              </a:solidFill>
            </cx:spPr>
          </cx:dataPt>
          <cx:dataPt idx="15">
            <cx:spPr>
              <a:solidFill>
                <a:srgbClr val="960000"/>
              </a:solidFill>
            </cx:spPr>
          </cx:dataPt>
          <cx:dataPt idx="16">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7.xml><?xml version="1.0" encoding="utf-8"?>
<cx:chartSpace xmlns:a="http://schemas.openxmlformats.org/drawingml/2006/main" xmlns:r="http://schemas.openxmlformats.org/officeDocument/2006/relationships" xmlns:cx="http://schemas.microsoft.com/office/drawing/2014/chartex">
  <cx:chartData>
    <cx:data id="0">
      <cx:strDim type="cat">
        <cx:f>_xlchart.v1.32</cx:f>
      </cx:strDim>
      <cx:numDim type="size">
        <cx:f>_xlchart.v1.33</cx:f>
      </cx:numDim>
    </cx:data>
  </cx:chartData>
  <cx:chart>
    <cx:title pos="t" align="ctr" overlay="0">
      <cx:tx>
        <cx:txData>
          <cx:v>Freight &amp; Logistics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Freight &amp; Logistics</a:t>
          </a:r>
        </a:p>
      </cx:txPr>
    </cx:title>
    <cx:plotArea>
      <cx:plotAreaRegion>
        <cx:series layoutId="treemap" uniqueId="{8CC94759-0226-4B9F-99AD-ED43D5F50CB5}">
          <cx:dataPt idx="0">
            <cx:spPr>
              <a:solidFill>
                <a:srgbClr val="960000"/>
              </a:solidFill>
            </cx:spPr>
          </cx:dataPt>
          <cx:dataPt idx="1">
            <cx:spPr>
              <a:solidFill>
                <a:srgbClr val="960000"/>
              </a:solidFill>
            </cx:spPr>
          </cx:dataPt>
          <cx:dataPt idx="2">
            <cx:spPr>
              <a:solidFill>
                <a:srgbClr val="009600"/>
              </a:solidFill>
            </cx:spPr>
          </cx:dataPt>
          <cx:dataPt idx="3">
            <cx:spPr>
              <a:solidFill>
                <a:srgbClr val="960000"/>
              </a:solidFill>
            </cx:spPr>
          </cx:dataPt>
          <cx:dataPt idx="4">
            <cx:spPr>
              <a:solidFill>
                <a:srgbClr val="009600"/>
              </a:solidFill>
            </cx:spPr>
          </cx:dataPt>
          <cx:dataPt idx="5">
            <cx:spPr>
              <a:solidFill>
                <a:srgbClr val="960000"/>
              </a:solidFill>
            </cx:spPr>
          </cx:dataPt>
          <cx:dataPt idx="6">
            <cx:spPr>
              <a:solidFill>
                <a:srgbClr val="960000"/>
              </a:solidFill>
            </cx:spPr>
          </cx:dataPt>
          <cx:dataPt idx="7">
            <cx:spPr>
              <a:solidFill>
                <a:srgbClr val="960000"/>
              </a:solidFill>
            </cx:spPr>
          </cx:dataPt>
          <cx:dataPt idx="8">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8.xml><?xml version="1.0" encoding="utf-8"?>
<cx:chartSpace xmlns:a="http://schemas.openxmlformats.org/drawingml/2006/main" xmlns:r="http://schemas.openxmlformats.org/officeDocument/2006/relationships" xmlns:cx="http://schemas.microsoft.com/office/drawing/2014/chartex">
  <cx:chartData>
    <cx:data id="0">
      <cx:strDim type="cat">
        <cx:f>_xlchart.v1.28</cx:f>
      </cx:strDim>
      <cx:numDim type="size">
        <cx:f>_xlchart.v1.29</cx:f>
      </cx:numDim>
    </cx:data>
  </cx:chartData>
  <cx:chart>
    <cx:title pos="t" align="ctr" overlay="0">
      <cx:tx>
        <cx:txData>
          <cx:v>Container &amp; Packaging</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Container &amp; Packaging</a:t>
          </a:r>
        </a:p>
      </cx:txPr>
    </cx:title>
    <cx:plotArea>
      <cx:plotAreaRegion>
        <cx:series layoutId="treemap" uniqueId="{4D8010AF-D933-4A59-996C-631F7C53F62C}">
          <cx:dataPt idx="0">
            <cx:spPr>
              <a:solidFill>
                <a:srgbClr val="960000"/>
              </a:solidFill>
            </cx:spPr>
          </cx:dataPt>
          <cx:dataPt idx="1">
            <cx:spPr>
              <a:solidFill>
                <a:srgbClr val="960000"/>
              </a:solidFill>
            </cx:spPr>
          </cx:dataPt>
          <cx:dataPt idx="2">
            <cx:spPr>
              <a:solidFill>
                <a:srgbClr val="960000"/>
              </a:solidFill>
            </cx:spPr>
          </cx:dataPt>
          <cx:dataPt idx="3">
            <cx:spPr>
              <a:solidFill>
                <a:srgbClr val="C83232"/>
              </a:solidFill>
            </cx:spPr>
          </cx:dataPt>
          <cx:dataPt idx="4">
            <cx:spPr>
              <a:solidFill>
                <a:srgbClr val="960000"/>
              </a:solidFill>
            </cx:spPr>
          </cx:dataPt>
          <cx:dataPt idx="5">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19.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title pos="t" align="ctr" overlay="0">
      <cx:tx>
        <cx:txData>
          <cx:v>Electrical Utilities &amp; IPPS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Electrical Utilities &amp; IPPS</a:t>
          </a:r>
        </a:p>
      </cx:txPr>
    </cx:title>
    <cx:plotArea>
      <cx:plotAreaRegion>
        <cx:series layoutId="treemap" uniqueId="{B1441A3F-9CED-4713-A920-8489BCB21AA8}">
          <cx:dataPt idx="0">
            <cx:spPr>
              <a:solidFill>
                <a:srgbClr val="009600"/>
              </a:solidFill>
            </cx:spPr>
          </cx:dataPt>
          <cx:dataPt idx="1">
            <cx:spPr>
              <a:solidFill>
                <a:srgbClr val="009600"/>
              </a:solidFill>
            </cx:spPr>
          </cx:dataPt>
          <cx:dataPt idx="2">
            <cx:spPr>
              <a:solidFill>
                <a:srgbClr val="009600"/>
              </a:solidFill>
            </cx:spPr>
          </cx:dataPt>
          <cx:dataPt idx="3">
            <cx:spPr>
              <a:solidFill>
                <a:srgbClr val="009600"/>
              </a:solidFill>
            </cx:spPr>
          </cx:dataPt>
          <cx:dataPt idx="4">
            <cx:spPr>
              <a:solidFill>
                <a:srgbClr val="32C832"/>
              </a:solidFill>
            </cx:spPr>
          </cx:dataPt>
          <cx:dataPt idx="5">
            <cx:spPr>
              <a:solidFill>
                <a:srgbClr val="009600"/>
              </a:solidFill>
            </cx:spPr>
          </cx:dataPt>
          <cx:dataPt idx="6">
            <cx:spPr>
              <a:solidFill>
                <a:srgbClr val="009600"/>
              </a:solidFill>
            </cx:spPr>
          </cx:dataPt>
          <cx:dataPt idx="7">
            <cx:spPr>
              <a:solidFill>
                <a:srgbClr val="009600"/>
              </a:solidFill>
            </cx:spPr>
          </cx:dataPt>
          <cx:dataPt idx="8">
            <cx:spPr>
              <a:solidFill>
                <a:srgbClr val="32C832"/>
              </a:solidFill>
            </cx:spPr>
          </cx:dataPt>
          <cx:dataPt idx="9">
            <cx:spPr>
              <a:solidFill>
                <a:srgbClr val="009600"/>
              </a:solidFill>
            </cx:spPr>
          </cx:dataPt>
          <cx:dataPt idx="10">
            <cx:spPr>
              <a:solidFill>
                <a:srgbClr val="009600"/>
              </a:solidFill>
            </cx:spPr>
          </cx:dataPt>
          <cx:dataPt idx="11">
            <cx:spPr>
              <a:solidFill>
                <a:srgbClr val="009600"/>
              </a:solidFill>
            </cx:spPr>
          </cx:dataPt>
          <cx:dataPt idx="12">
            <cx:spPr>
              <a:solidFill>
                <a:srgbClr val="009600"/>
              </a:solidFill>
            </cx:spPr>
          </cx:dataPt>
          <cx:dataPt idx="13">
            <cx:spPr>
              <a:solidFill>
                <a:srgbClr val="009600"/>
              </a:solidFill>
            </cx:spPr>
          </cx:dataPt>
          <cx:dataPt idx="14">
            <cx:spPr>
              <a:solidFill>
                <a:srgbClr val="009600"/>
              </a:solidFill>
            </cx:spPr>
          </cx:dataPt>
          <cx:dataPt idx="15">
            <cx:spPr>
              <a:solidFill>
                <a:srgbClr val="009600"/>
              </a:solidFill>
            </cx:spPr>
          </cx:dataPt>
          <cx:dataPt idx="16">
            <cx:spPr>
              <a:solidFill>
                <a:srgbClr val="009600"/>
              </a:solidFill>
            </cx:spPr>
          </cx:dataPt>
          <cx:dataPt idx="17">
            <cx:spPr>
              <a:solidFill>
                <a:srgbClr val="009600"/>
              </a:solidFill>
            </cx:spPr>
          </cx:dataPt>
          <cx:dataPt idx="18">
            <cx:spPr>
              <a:solidFill>
                <a:srgbClr val="009600"/>
              </a:solidFill>
            </cx:spPr>
          </cx:dataPt>
          <cx:dataPt idx="19">
            <cx:spPr>
              <a:solidFill>
                <a:srgbClr val="009600"/>
              </a:solidFill>
            </cx:spPr>
          </cx:dataPt>
          <cx:dataPt idx="20">
            <cx:spPr>
              <a:solidFill>
                <a:srgbClr val="009600"/>
              </a:solidFill>
            </cx:spPr>
          </cx:dataPt>
          <cx:dataPt idx="21">
            <cx:spPr>
              <a:solidFill>
                <a:srgbClr val="009600"/>
              </a:solidFill>
            </cx:spPr>
          </cx:dataPt>
          <cx:dataPt idx="22">
            <cx:spPr>
              <a:solidFill>
                <a:srgbClr val="32C832"/>
              </a:solidFill>
            </cx:spPr>
          </cx:dataPt>
          <cx:dataPt idx="23">
            <cx:spPr>
              <a:solidFill>
                <a:srgbClr val="009600"/>
              </a:solidFill>
            </cx:spPr>
          </cx:dataPt>
          <cx:dataPt idx="24">
            <cx:spPr>
              <a:solidFill>
                <a:srgbClr val="960000"/>
              </a:solidFill>
            </cx:spPr>
          </cx:dataPt>
          <cx:dataPt idx="25">
            <cx:spPr>
              <a:solidFill>
                <a:srgbClr val="960000"/>
              </a:solidFill>
            </cx:spPr>
          </cx:dataPt>
          <cx:dataPt idx="26">
            <cx:spPr>
              <a:solidFill>
                <a:srgbClr val="960000"/>
              </a:solidFill>
            </cx:spPr>
          </cx:dataPt>
          <cx:dataPt idx="27">
            <cx:spPr>
              <a:solidFill>
                <a:srgbClr val="960000"/>
              </a:solidFill>
            </cx:spPr>
          </cx:dataPt>
          <cx:dataPt idx="28">
            <cx:spPr>
              <a:solidFill>
                <a:srgbClr val="009600"/>
              </a:solidFill>
            </cx:spPr>
          </cx:dataPt>
          <cx:dataPt idx="29">
            <cx:spPr>
              <a:solidFill>
                <a:srgbClr val="960000"/>
              </a:solidFill>
            </cx:spPr>
          </cx:dataPt>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20.xml><?xml version="1.0" encoding="utf-8"?>
<cx:chartSpace xmlns:a="http://schemas.openxmlformats.org/drawingml/2006/main" xmlns:r="http://schemas.openxmlformats.org/officeDocument/2006/relationships" xmlns:cx="http://schemas.microsoft.com/office/drawing/2014/chartex">
  <cx:chartData>
    <cx:data id="0">
      <cx:strDim type="cat">
        <cx:f>_xlchart.v1.30</cx:f>
      </cx:strDim>
      <cx:numDim type="size">
        <cx:f>_xlchart.v1.31</cx:f>
      </cx:numDim>
    </cx:data>
  </cx:chartData>
  <cx:chart>
    <cx:title pos="t" align="ctr" overlay="0">
      <cx:tx>
        <cx:txData>
          <cx:v>Gold and Mining</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Gold and Mining</a:t>
          </a:r>
        </a:p>
      </cx:txPr>
    </cx:title>
    <cx:plotArea>
      <cx:plotAreaRegion>
        <cx:series layoutId="treemap" uniqueId="{8483ADB1-202D-4958-8E18-5626458F01E8}" formatIdx="1">
          <cx:dataPt idx="0">
            <cx:spPr>
              <a:solidFill>
                <a:srgbClr val="32C832"/>
              </a:solidFill>
            </cx:spPr>
          </cx:dataPt>
          <cx:dataPt idx="1">
            <cx:spPr>
              <a:solidFill>
                <a:srgbClr val="009600"/>
              </a:solidFill>
            </cx:spPr>
          </cx:dataPt>
          <cx:dataPt idx="2">
            <cx:spPr>
              <a:solidFill>
                <a:srgbClr val="32C832"/>
              </a:solidFill>
            </cx:spPr>
          </cx:dataPt>
          <cx:dataPt idx="3">
            <cx:spPr>
              <a:solidFill>
                <a:srgbClr val="32C832"/>
              </a:solidFill>
            </cx:spPr>
          </cx:dataPt>
          <cx:dataPt idx="4">
            <cx:spPr>
              <a:solidFill>
                <a:srgbClr val="009600"/>
              </a:solidFill>
            </cx:spPr>
          </cx:dataPt>
          <cx:dataPt idx="5">
            <cx:spPr>
              <a:solidFill>
                <a:srgbClr val="32C832"/>
              </a:solidFill>
            </cx:spPr>
          </cx:dataPt>
          <cx:dataPt idx="6">
            <cx:spPr>
              <a:solidFill>
                <a:srgbClr val="32C832"/>
              </a:solidFill>
            </cx:spPr>
          </cx:dataPt>
          <cx:dataLabels pos="inEnd">
            <cx:visibility seriesName="0" categoryName="1" value="0"/>
          </cx:dataLabels>
          <cx:dataId val="0"/>
          <cx:layoutPr>
            <cx:parentLabelLayout val="overlapping"/>
          </cx:layoutPr>
        </cx:series>
      </cx:plotAreaRegion>
    </cx:plotArea>
  </cx:chart>
</cx:chartSpace>
</file>

<file path=xl/charts/chartEx21.xml><?xml version="1.0" encoding="utf-8"?>
<cx:chartSpace xmlns:a="http://schemas.openxmlformats.org/drawingml/2006/main" xmlns:r="http://schemas.openxmlformats.org/officeDocument/2006/relationships" xmlns:cx="http://schemas.microsoft.com/office/drawing/2014/chartex">
  <cx:chartData>
    <cx:data id="0">
      <cx:strDim type="cat">
        <cx:f>_xlchart.v1.40</cx:f>
      </cx:strDim>
      <cx:numDim type="size">
        <cx:f>_xlchart.v1.41</cx:f>
      </cx:numDim>
    </cx:data>
  </cx:chartData>
  <cx:chart>
    <cx:title pos="t" align="ctr" overlay="0">
      <cx:tx>
        <cx:txData>
          <cx:v>Quantum Technologies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Quantum Technologies</a:t>
          </a:r>
        </a:p>
      </cx:txPr>
    </cx:title>
    <cx:plotArea>
      <cx:plotAreaRegion>
        <cx:series layoutId="treemap" uniqueId="{E8E7D181-69A7-422A-A00F-745A3A992945}">
          <cx:dataPt idx="0">
            <cx:spPr>
              <a:solidFill>
                <a:srgbClr val="960000"/>
              </a:solidFill>
            </cx:spPr>
          </cx:dataPt>
          <cx:dataPt idx="1">
            <cx:spPr>
              <a:solidFill>
                <a:srgbClr val="009600"/>
              </a:solidFill>
            </cx:spPr>
          </cx:dataPt>
          <cx:dataPt idx="2">
            <cx:spPr>
              <a:solidFill>
                <a:srgbClr val="00FF00"/>
              </a:solidFill>
            </cx:spPr>
          </cx:dataPt>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microsoft.com/office/2014/relationships/chartEx" Target="../charts/chartEx8.xml"/><Relationship Id="rId13" Type="http://schemas.microsoft.com/office/2014/relationships/chartEx" Target="../charts/chartEx13.xml"/><Relationship Id="rId18" Type="http://schemas.microsoft.com/office/2014/relationships/chartEx" Target="../charts/chartEx18.xml"/><Relationship Id="rId3" Type="http://schemas.microsoft.com/office/2014/relationships/chartEx" Target="../charts/chartEx3.xml"/><Relationship Id="rId21" Type="http://schemas.microsoft.com/office/2014/relationships/chartEx" Target="../charts/chartEx21.xml"/><Relationship Id="rId7" Type="http://schemas.microsoft.com/office/2014/relationships/chartEx" Target="../charts/chartEx7.xml"/><Relationship Id="rId12" Type="http://schemas.microsoft.com/office/2014/relationships/chartEx" Target="../charts/chartEx12.xml"/><Relationship Id="rId17" Type="http://schemas.microsoft.com/office/2014/relationships/chartEx" Target="../charts/chartEx17.xml"/><Relationship Id="rId2" Type="http://schemas.microsoft.com/office/2014/relationships/chartEx" Target="../charts/chartEx2.xml"/><Relationship Id="rId16" Type="http://schemas.microsoft.com/office/2014/relationships/chartEx" Target="../charts/chartEx16.xml"/><Relationship Id="rId20" Type="http://schemas.microsoft.com/office/2014/relationships/chartEx" Target="../charts/chartEx20.xml"/><Relationship Id="rId1" Type="http://schemas.microsoft.com/office/2014/relationships/chartEx" Target="../charts/chartEx1.xml"/><Relationship Id="rId6" Type="http://schemas.microsoft.com/office/2014/relationships/chartEx" Target="../charts/chartEx6.xml"/><Relationship Id="rId11" Type="http://schemas.microsoft.com/office/2014/relationships/chartEx" Target="../charts/chartEx11.xml"/><Relationship Id="rId5" Type="http://schemas.microsoft.com/office/2014/relationships/chartEx" Target="../charts/chartEx5.xml"/><Relationship Id="rId15" Type="http://schemas.microsoft.com/office/2014/relationships/chartEx" Target="../charts/chartEx15.xml"/><Relationship Id="rId10" Type="http://schemas.microsoft.com/office/2014/relationships/chartEx" Target="../charts/chartEx10.xml"/><Relationship Id="rId19" Type="http://schemas.microsoft.com/office/2014/relationships/chartEx" Target="../charts/chartEx19.xml"/><Relationship Id="rId4" Type="http://schemas.microsoft.com/office/2014/relationships/chartEx" Target="../charts/chartEx4.xml"/><Relationship Id="rId9" Type="http://schemas.microsoft.com/office/2014/relationships/chartEx" Target="../charts/chartEx9.xml"/><Relationship Id="rId14" Type="http://schemas.microsoft.com/office/2014/relationships/chartEx" Target="../charts/chartEx14.xml"/></Relationships>
</file>

<file path=xl/drawings/drawing1.xml><?xml version="1.0" encoding="utf-8"?>
<xdr:wsDr xmlns:xdr="http://schemas.openxmlformats.org/drawingml/2006/spreadsheetDrawing" xmlns:a="http://schemas.openxmlformats.org/drawingml/2006/main">
  <xdr:twoCellAnchor>
    <xdr:from>
      <xdr:col>8</xdr:col>
      <xdr:colOff>568608</xdr:colOff>
      <xdr:row>68</xdr:row>
      <xdr:rowOff>194941</xdr:rowOff>
    </xdr:from>
    <xdr:to>
      <xdr:col>25</xdr:col>
      <xdr:colOff>555816</xdr:colOff>
      <xdr:row>92</xdr:row>
      <xdr:rowOff>175519</xdr:rowOff>
    </xdr:to>
    <mc:AlternateContent xmlns:mc="http://schemas.openxmlformats.org/markup-compatibility/2006">
      <mc:Choice xmlns:cx1="http://schemas.microsoft.com/office/drawing/2015/9/8/chartex" Requires="cx1">
        <xdr:graphicFrame macro="">
          <xdr:nvGraphicFramePr>
            <xdr:cNvPr id="4642" name="Chart 29">
              <a:extLst>
                <a:ext uri="{FF2B5EF4-FFF2-40B4-BE49-F238E27FC236}">
                  <a16:creationId xmlns:a16="http://schemas.microsoft.com/office/drawing/2014/main" id="{F08BEEEC-121F-F7BF-8AA5-011C097AD12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850268" y="15328261"/>
              <a:ext cx="10350408" cy="500977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55</xdr:col>
      <xdr:colOff>378340</xdr:colOff>
      <xdr:row>68</xdr:row>
      <xdr:rowOff>177772</xdr:rowOff>
    </xdr:from>
    <xdr:to>
      <xdr:col>65</xdr:col>
      <xdr:colOff>71437</xdr:colOff>
      <xdr:row>93</xdr:row>
      <xdr:rowOff>49530</xdr:rowOff>
    </xdr:to>
    <mc:AlternateContent xmlns:mc="http://schemas.openxmlformats.org/markup-compatibility/2006">
      <mc:Choice xmlns:cx1="http://schemas.microsoft.com/office/drawing/2015/9/8/chartex" Requires="cx1">
        <xdr:graphicFrame macro="">
          <xdr:nvGraphicFramePr>
            <xdr:cNvPr id="4646" name="Chart 30">
              <a:extLst>
                <a:ext uri="{FF2B5EF4-FFF2-40B4-BE49-F238E27FC236}">
                  <a16:creationId xmlns:a16="http://schemas.microsoft.com/office/drawing/2014/main" id="{A74D8E1A-6BBA-3664-A803-C5D5C676EB9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2311200" y="15311092"/>
              <a:ext cx="5789097" cy="508383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588546</xdr:colOff>
      <xdr:row>96</xdr:row>
      <xdr:rowOff>19718</xdr:rowOff>
    </xdr:from>
    <xdr:to>
      <xdr:col>44</xdr:col>
      <xdr:colOff>47625</xdr:colOff>
      <xdr:row>121</xdr:row>
      <xdr:rowOff>170415</xdr:rowOff>
    </xdr:to>
    <mc:AlternateContent xmlns:mc="http://schemas.openxmlformats.org/markup-compatibility/2006">
      <mc:Choice xmlns:cx1="http://schemas.microsoft.com/office/drawing/2015/9/8/chartex" Requires="cx1">
        <xdr:graphicFrame macro="">
          <xdr:nvGraphicFramePr>
            <xdr:cNvPr id="4668" name="Chart 10">
              <a:extLst>
                <a:ext uri="{FF2B5EF4-FFF2-40B4-BE49-F238E27FC236}">
                  <a16:creationId xmlns:a16="http://schemas.microsoft.com/office/drawing/2014/main" id="{3A35E762-ABC5-09E5-5BCF-EEFBB239A46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3870206" y="20913758"/>
              <a:ext cx="21404679" cy="4905577"/>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585107</xdr:colOff>
      <xdr:row>123</xdr:row>
      <xdr:rowOff>55766</xdr:rowOff>
    </xdr:from>
    <xdr:to>
      <xdr:col>25</xdr:col>
      <xdr:colOff>571500</xdr:colOff>
      <xdr:row>146</xdr:row>
      <xdr:rowOff>163286</xdr:rowOff>
    </xdr:to>
    <mc:AlternateContent xmlns:mc="http://schemas.openxmlformats.org/markup-compatibility/2006">
      <mc:Choice xmlns:cx1="http://schemas.microsoft.com/office/drawing/2015/9/8/chartex" Requires="cx1">
        <xdr:graphicFrame macro="">
          <xdr:nvGraphicFramePr>
            <xdr:cNvPr id="4700" name="Chart 1">
              <a:extLst>
                <a:ext uri="{FF2B5EF4-FFF2-40B4-BE49-F238E27FC236}">
                  <a16:creationId xmlns:a16="http://schemas.microsoft.com/office/drawing/2014/main" id="{84F4FB04-09D8-4516-A88C-7BE82146C95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3866767" y="26161886"/>
              <a:ext cx="10349593" cy="536532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23812</xdr:colOff>
      <xdr:row>0</xdr:row>
      <xdr:rowOff>0</xdr:rowOff>
    </xdr:from>
    <xdr:to>
      <xdr:col>65</xdr:col>
      <xdr:colOff>53340</xdr:colOff>
      <xdr:row>34</xdr:row>
      <xdr:rowOff>21128</xdr:rowOff>
    </xdr:to>
    <mc:AlternateContent xmlns:mc="http://schemas.openxmlformats.org/markup-compatibility/2006">
      <mc:Choice xmlns:cx1="http://schemas.microsoft.com/office/drawing/2015/9/8/chartex" Requires="cx1">
        <xdr:graphicFrame macro="">
          <xdr:nvGraphicFramePr>
            <xdr:cNvPr id="4739" name="Chart 3">
              <a:extLst>
                <a:ext uri="{FF2B5EF4-FFF2-40B4-BE49-F238E27FC236}">
                  <a16:creationId xmlns:a16="http://schemas.microsoft.com/office/drawing/2014/main" id="{432B336B-AFCA-4468-9E57-73DF1747D50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915072" y="0"/>
              <a:ext cx="34167128" cy="738204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303069</xdr:colOff>
      <xdr:row>68</xdr:row>
      <xdr:rowOff>203488</xdr:rowOff>
    </xdr:from>
    <xdr:to>
      <xdr:col>44</xdr:col>
      <xdr:colOff>116378</xdr:colOff>
      <xdr:row>93</xdr:row>
      <xdr:rowOff>34636</xdr:rowOff>
    </xdr:to>
    <mc:AlternateContent xmlns:mc="http://schemas.openxmlformats.org/markup-compatibility/2006">
      <mc:Choice xmlns:cx1="http://schemas.microsoft.com/office/drawing/2015/9/8/chartex" Requires="cx1">
        <xdr:graphicFrame macro="">
          <xdr:nvGraphicFramePr>
            <xdr:cNvPr id="4754" name="Chart 4">
              <a:extLst>
                <a:ext uri="{FF2B5EF4-FFF2-40B4-BE49-F238E27FC236}">
                  <a16:creationId xmlns:a16="http://schemas.microsoft.com/office/drawing/2014/main" id="{D18570FA-D04F-4105-BEB3-631A8636525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4557529" y="15336808"/>
              <a:ext cx="10786109" cy="504322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550286</xdr:colOff>
      <xdr:row>147</xdr:row>
      <xdr:rowOff>203749</xdr:rowOff>
    </xdr:from>
    <xdr:to>
      <xdr:col>25</xdr:col>
      <xdr:colOff>595312</xdr:colOff>
      <xdr:row>171</xdr:row>
      <xdr:rowOff>57930</xdr:rowOff>
    </xdr:to>
    <mc:AlternateContent xmlns:mc="http://schemas.openxmlformats.org/markup-compatibility/2006">
      <mc:Choice xmlns:cx1="http://schemas.microsoft.com/office/drawing/2015/9/8/chartex" Requires="cx1">
        <xdr:graphicFrame macro="">
          <xdr:nvGraphicFramePr>
            <xdr:cNvPr id="4785" name="Chart 7">
              <a:extLst>
                <a:ext uri="{FF2B5EF4-FFF2-40B4-BE49-F238E27FC236}">
                  <a16:creationId xmlns:a16="http://schemas.microsoft.com/office/drawing/2014/main" id="{D2CEEAC6-C1AF-4A84-98F2-D7D09855C6C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3831946" y="31796269"/>
              <a:ext cx="10408226" cy="5340581"/>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38101</xdr:colOff>
      <xdr:row>34</xdr:row>
      <xdr:rowOff>227215</xdr:rowOff>
    </xdr:from>
    <xdr:to>
      <xdr:col>25</xdr:col>
      <xdr:colOff>514350</xdr:colOff>
      <xdr:row>66</xdr:row>
      <xdr:rowOff>12123</xdr:rowOff>
    </xdr:to>
    <mc:AlternateContent xmlns:mc="http://schemas.openxmlformats.org/markup-compatibility/2006">
      <mc:Choice xmlns:cx1="http://schemas.microsoft.com/office/drawing/2015/9/8/chartex" Requires="cx1">
        <xdr:graphicFrame macro="">
          <xdr:nvGraphicFramePr>
            <xdr:cNvPr id="4797" name="Chart 8">
              <a:extLst>
                <a:ext uri="{FF2B5EF4-FFF2-40B4-BE49-F238E27FC236}">
                  <a16:creationId xmlns:a16="http://schemas.microsoft.com/office/drawing/2014/main" id="{334BDAA7-1C03-4271-A733-633059E1CAD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3929361" y="7588135"/>
              <a:ext cx="10229849" cy="710010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379910</xdr:colOff>
      <xdr:row>35</xdr:row>
      <xdr:rowOff>38101</xdr:rowOff>
    </xdr:from>
    <xdr:to>
      <xdr:col>65</xdr:col>
      <xdr:colOff>38100</xdr:colOff>
      <xdr:row>66</xdr:row>
      <xdr:rowOff>1</xdr:rowOff>
    </xdr:to>
    <mc:AlternateContent xmlns:mc="http://schemas.openxmlformats.org/markup-compatibility/2006">
      <mc:Choice xmlns:cx1="http://schemas.microsoft.com/office/drawing/2015/9/8/chartex" Requires="cx1">
        <xdr:graphicFrame macro="">
          <xdr:nvGraphicFramePr>
            <xdr:cNvPr id="4524" name="Chart 5">
              <a:extLst>
                <a:ext uri="{FF2B5EF4-FFF2-40B4-BE49-F238E27FC236}">
                  <a16:creationId xmlns:a16="http://schemas.microsoft.com/office/drawing/2014/main" id="{EA34F571-F915-B210-287D-A2C21D11AB8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24634370" y="7627621"/>
              <a:ext cx="23432590" cy="704850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285750</xdr:colOff>
      <xdr:row>123</xdr:row>
      <xdr:rowOff>76200</xdr:rowOff>
    </xdr:from>
    <xdr:to>
      <xdr:col>44</xdr:col>
      <xdr:colOff>133349</xdr:colOff>
      <xdr:row>146</xdr:row>
      <xdr:rowOff>171450</xdr:rowOff>
    </xdr:to>
    <mc:AlternateContent xmlns:mc="http://schemas.openxmlformats.org/markup-compatibility/2006">
      <mc:Choice xmlns:cx1="http://schemas.microsoft.com/office/drawing/2015/9/8/chartex" Requires="cx1">
        <xdr:graphicFrame macro="">
          <xdr:nvGraphicFramePr>
            <xdr:cNvPr id="4547" name="Chart 26">
              <a:extLst>
                <a:ext uri="{FF2B5EF4-FFF2-40B4-BE49-F238E27FC236}">
                  <a16:creationId xmlns:a16="http://schemas.microsoft.com/office/drawing/2014/main" id="{FFB03FDA-37E6-49DA-A779-AE1E8DA5E6D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4540210" y="26182320"/>
              <a:ext cx="10820399" cy="535305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44</xdr:col>
      <xdr:colOff>434340</xdr:colOff>
      <xdr:row>123</xdr:row>
      <xdr:rowOff>53340</xdr:rowOff>
    </xdr:from>
    <xdr:to>
      <xdr:col>65</xdr:col>
      <xdr:colOff>142875</xdr:colOff>
      <xdr:row>146</xdr:row>
      <xdr:rowOff>190500</xdr:rowOff>
    </xdr:to>
    <mc:AlternateContent xmlns:mc="http://schemas.openxmlformats.org/markup-compatibility/2006">
      <mc:Choice xmlns:cx1="http://schemas.microsoft.com/office/drawing/2015/9/8/chartex" Requires="cx1">
        <xdr:graphicFrame macro="">
          <xdr:nvGraphicFramePr>
            <xdr:cNvPr id="4552" name="Chart 12">
              <a:extLst>
                <a:ext uri="{FF2B5EF4-FFF2-40B4-BE49-F238E27FC236}">
                  <a16:creationId xmlns:a16="http://schemas.microsoft.com/office/drawing/2014/main" id="{1E24D6A9-1966-4253-BD36-CE68CEBF47E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35661600" y="26159460"/>
              <a:ext cx="12510135" cy="539496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44</xdr:col>
      <xdr:colOff>408622</xdr:colOff>
      <xdr:row>68</xdr:row>
      <xdr:rowOff>225742</xdr:rowOff>
    </xdr:from>
    <xdr:to>
      <xdr:col>55</xdr:col>
      <xdr:colOff>119062</xdr:colOff>
      <xdr:row>93</xdr:row>
      <xdr:rowOff>50482</xdr:rowOff>
    </xdr:to>
    <mc:AlternateContent xmlns:mc="http://schemas.openxmlformats.org/markup-compatibility/2006">
      <mc:Choice xmlns:cx1="http://schemas.microsoft.com/office/drawing/2015/9/8/chartex" Requires="cx1">
        <xdr:graphicFrame macro="">
          <xdr:nvGraphicFramePr>
            <xdr:cNvPr id="4569" name="Chart 13">
              <a:extLst>
                <a:ext uri="{FF2B5EF4-FFF2-40B4-BE49-F238E27FC236}">
                  <a16:creationId xmlns:a16="http://schemas.microsoft.com/office/drawing/2014/main" id="{F967BC26-A6AF-4D76-B7BE-3955383B6EC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35635882" y="15359062"/>
              <a:ext cx="6416040" cy="503682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551498</xdr:colOff>
      <xdr:row>172</xdr:row>
      <xdr:rowOff>120967</xdr:rowOff>
    </xdr:from>
    <xdr:to>
      <xdr:col>25</xdr:col>
      <xdr:colOff>534898</xdr:colOff>
      <xdr:row>198</xdr:row>
      <xdr:rowOff>119062</xdr:rowOff>
    </xdr:to>
    <mc:AlternateContent xmlns:mc="http://schemas.openxmlformats.org/markup-compatibility/2006">
      <mc:Choice xmlns:cx1="http://schemas.microsoft.com/office/drawing/2015/9/8/chartex" Requires="cx1">
        <xdr:graphicFrame macro="">
          <xdr:nvGraphicFramePr>
            <xdr:cNvPr id="4581" name="Chart 22">
              <a:extLst>
                <a:ext uri="{FF2B5EF4-FFF2-40B4-BE49-F238E27FC236}">
                  <a16:creationId xmlns:a16="http://schemas.microsoft.com/office/drawing/2014/main" id="{947BDBF1-A265-4340-B9CD-8BF5D708F8D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3833158" y="37428487"/>
              <a:ext cx="10346600" cy="5164455"/>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549593</xdr:colOff>
      <xdr:row>199</xdr:row>
      <xdr:rowOff>228080</xdr:rowOff>
    </xdr:from>
    <xdr:to>
      <xdr:col>25</xdr:col>
      <xdr:colOff>497515</xdr:colOff>
      <xdr:row>221</xdr:row>
      <xdr:rowOff>47625</xdr:rowOff>
    </xdr:to>
    <mc:AlternateContent xmlns:mc="http://schemas.openxmlformats.org/markup-compatibility/2006">
      <mc:Choice xmlns:cx1="http://schemas.microsoft.com/office/drawing/2015/9/8/chartex" Requires="cx1">
        <xdr:graphicFrame macro="">
          <xdr:nvGraphicFramePr>
            <xdr:cNvPr id="4589" name="Chart 23">
              <a:extLst>
                <a:ext uri="{FF2B5EF4-FFF2-40B4-BE49-F238E27FC236}">
                  <a16:creationId xmlns:a16="http://schemas.microsoft.com/office/drawing/2014/main" id="{7BBB14B6-21F8-4F7D-A742-B27FC5F3DB6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3831253" y="42930560"/>
              <a:ext cx="10311122" cy="4848745"/>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269136</xdr:colOff>
      <xdr:row>200</xdr:row>
      <xdr:rowOff>47625</xdr:rowOff>
    </xdr:from>
    <xdr:to>
      <xdr:col>44</xdr:col>
      <xdr:colOff>95250</xdr:colOff>
      <xdr:row>221</xdr:row>
      <xdr:rowOff>84514</xdr:rowOff>
    </xdr:to>
    <mc:AlternateContent xmlns:mc="http://schemas.openxmlformats.org/markup-compatibility/2006">
      <mc:Choice xmlns:cx1="http://schemas.microsoft.com/office/drawing/2015/9/8/chartex" Requires="cx1">
        <xdr:graphicFrame macro="">
          <xdr:nvGraphicFramePr>
            <xdr:cNvPr id="4595" name="Chart 27">
              <a:extLst>
                <a:ext uri="{FF2B5EF4-FFF2-40B4-BE49-F238E27FC236}">
                  <a16:creationId xmlns:a16="http://schemas.microsoft.com/office/drawing/2014/main" id="{5AFD5236-D294-4287-91AA-875AC4A6D2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24523596" y="42978705"/>
              <a:ext cx="10798914" cy="4837489"/>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260032</xdr:colOff>
      <xdr:row>172</xdr:row>
      <xdr:rowOff>174047</xdr:rowOff>
    </xdr:from>
    <xdr:to>
      <xdr:col>44</xdr:col>
      <xdr:colOff>17577</xdr:colOff>
      <xdr:row>198</xdr:row>
      <xdr:rowOff>119062</xdr:rowOff>
    </xdr:to>
    <mc:AlternateContent xmlns:mc="http://schemas.openxmlformats.org/markup-compatibility/2006">
      <mc:Choice xmlns:cx1="http://schemas.microsoft.com/office/drawing/2015/9/8/chartex" Requires="cx1">
        <xdr:graphicFrame macro="">
          <xdr:nvGraphicFramePr>
            <xdr:cNvPr id="4602" name="Chart 9">
              <a:extLst>
                <a:ext uri="{FF2B5EF4-FFF2-40B4-BE49-F238E27FC236}">
                  <a16:creationId xmlns:a16="http://schemas.microsoft.com/office/drawing/2014/main" id="{10577422-67F8-4D0C-A044-8F1726DDE20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24514492" y="37481567"/>
              <a:ext cx="10730345" cy="5111375"/>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55</xdr:col>
      <xdr:colOff>379838</xdr:colOff>
      <xdr:row>95</xdr:row>
      <xdr:rowOff>135255</xdr:rowOff>
    </xdr:from>
    <xdr:to>
      <xdr:col>65</xdr:col>
      <xdr:colOff>119062</xdr:colOff>
      <xdr:row>121</xdr:row>
      <xdr:rowOff>191639</xdr:rowOff>
    </xdr:to>
    <mc:AlternateContent xmlns:mc="http://schemas.openxmlformats.org/markup-compatibility/2006">
      <mc:Choice xmlns:cx1="http://schemas.microsoft.com/office/drawing/2015/9/8/chartex" Requires="cx1">
        <xdr:graphicFrame macro="">
          <xdr:nvGraphicFramePr>
            <xdr:cNvPr id="4603" name="Chart 14">
              <a:extLst>
                <a:ext uri="{FF2B5EF4-FFF2-40B4-BE49-F238E27FC236}">
                  <a16:creationId xmlns:a16="http://schemas.microsoft.com/office/drawing/2014/main" id="{A9B63BDF-F3BC-45BC-9D2F-F42F9914123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42312698" y="20846415"/>
              <a:ext cx="5835224" cy="4994144"/>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44</xdr:col>
      <xdr:colOff>434340</xdr:colOff>
      <xdr:row>95</xdr:row>
      <xdr:rowOff>162149</xdr:rowOff>
    </xdr:from>
    <xdr:to>
      <xdr:col>55</xdr:col>
      <xdr:colOff>142875</xdr:colOff>
      <xdr:row>122</xdr:row>
      <xdr:rowOff>20707</xdr:rowOff>
    </xdr:to>
    <mc:AlternateContent xmlns:mc="http://schemas.openxmlformats.org/markup-compatibility/2006">
      <mc:Choice xmlns:cx1="http://schemas.microsoft.com/office/drawing/2015/9/8/chartex" Requires="cx1">
        <xdr:graphicFrame macro="">
          <xdr:nvGraphicFramePr>
            <xdr:cNvPr id="4604" name="Chart 31">
              <a:extLst>
                <a:ext uri="{FF2B5EF4-FFF2-40B4-BE49-F238E27FC236}">
                  <a16:creationId xmlns:a16="http://schemas.microsoft.com/office/drawing/2014/main" id="{C83516C9-B7B3-4751-AD1C-EFBA2184DCB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35661600" y="20873309"/>
              <a:ext cx="6414135" cy="502491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44</xdr:col>
      <xdr:colOff>439709</xdr:colOff>
      <xdr:row>147</xdr:row>
      <xdr:rowOff>163137</xdr:rowOff>
    </xdr:from>
    <xdr:to>
      <xdr:col>65</xdr:col>
      <xdr:colOff>155864</xdr:colOff>
      <xdr:row>171</xdr:row>
      <xdr:rowOff>16825</xdr:rowOff>
    </xdr:to>
    <mc:AlternateContent xmlns:mc="http://schemas.openxmlformats.org/markup-compatibility/2006">
      <mc:Choice xmlns:cx1="http://schemas.microsoft.com/office/drawing/2015/9/8/chartex" Requires="cx1">
        <xdr:graphicFrame macro="">
          <xdr:nvGraphicFramePr>
            <xdr:cNvPr id="4626" name="Chart 11">
              <a:extLst>
                <a:ext uri="{FF2B5EF4-FFF2-40B4-BE49-F238E27FC236}">
                  <a16:creationId xmlns:a16="http://schemas.microsoft.com/office/drawing/2014/main" id="{3E958D78-F02B-4F06-B5F4-1C72930B85A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35666969" y="31755657"/>
              <a:ext cx="12517755" cy="534008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269206</xdr:colOff>
      <xdr:row>147</xdr:row>
      <xdr:rowOff>217119</xdr:rowOff>
    </xdr:from>
    <xdr:to>
      <xdr:col>44</xdr:col>
      <xdr:colOff>138544</xdr:colOff>
      <xdr:row>171</xdr:row>
      <xdr:rowOff>34637</xdr:rowOff>
    </xdr:to>
    <mc:AlternateContent xmlns:mc="http://schemas.openxmlformats.org/markup-compatibility/2006">
      <mc:Choice xmlns:cx1="http://schemas.microsoft.com/office/drawing/2015/9/8/chartex" Requires="cx1">
        <xdr:graphicFrame macro="">
          <xdr:nvGraphicFramePr>
            <xdr:cNvPr id="4633" name="Chart 15">
              <a:extLst>
                <a:ext uri="{FF2B5EF4-FFF2-40B4-BE49-F238E27FC236}">
                  <a16:creationId xmlns:a16="http://schemas.microsoft.com/office/drawing/2014/main" id="{9EDC834A-6D79-4165-8598-4329DD367D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24523666" y="31809639"/>
              <a:ext cx="10842138" cy="5303918"/>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44</xdr:col>
      <xdr:colOff>360998</xdr:colOff>
      <xdr:row>172</xdr:row>
      <xdr:rowOff>174783</xdr:rowOff>
    </xdr:from>
    <xdr:to>
      <xdr:col>65</xdr:col>
      <xdr:colOff>158750</xdr:colOff>
      <xdr:row>198</xdr:row>
      <xdr:rowOff>95409</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658582CD-DC15-4CA5-B5C9-879B1A27F41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1"/>
            </a:graphicData>
          </a:graphic>
        </xdr:graphicFrame>
      </mc:Choice>
      <mc:Fallback>
        <xdr:sp macro="" textlink="">
          <xdr:nvSpPr>
            <xdr:cNvPr id="0" name=""/>
            <xdr:cNvSpPr>
              <a:spLocks noTextEdit="1"/>
            </xdr:cNvSpPr>
          </xdr:nvSpPr>
          <xdr:spPr>
            <a:xfrm>
              <a:off x="35588258" y="37482303"/>
              <a:ext cx="12599352" cy="5086986"/>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381">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en-CA</v>
    <v>a1xzim</v>
    <v>268435456</v>
    <v>1</v>
    <v>Powered by Refinitiv</v>
    <v>0</v>
    <v>MICROSOFT CORPORATION (XNAS:MSFT)</v>
    <v>3</v>
    <v>4</v>
    <v>Finance</v>
    <v>5</v>
    <v>468.35</v>
    <v>344.79</v>
    <v>1.0139</v>
    <v>-4.68</v>
    <v>3.3320000000000002E-4</v>
    <v>-1.0289E-2</v>
    <v>0.15</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453.69</v>
    <v>3</v>
    <v>Software &amp; IT Services</v>
    <v>Stock</v>
    <v>45800.999987731251</v>
    <v>4</v>
    <v>448.91</v>
    <v>3345983000000</v>
    <v>MICROSOFT CORPORATION</v>
    <v>MICROSOFT CORPORATION</v>
    <v>449.98</v>
    <v>35.152900000000002</v>
    <v>454.86</v>
    <v>450.18</v>
    <v>450.33</v>
    <v>7432544000</v>
    <v>MSFT</v>
    <v>MICROSOFT CORPORATION (XNAS:MSFT)</v>
    <v>16883509</v>
    <v>22577720</v>
    <v>1993</v>
  </rv>
  <rv s="4">
    <v>5</v>
  </rv>
  <rv s="0">
    <v>https://www.bing.com/financeapi/forcetrigger?t=a1o9gh&amp;q=XNYS%3aBBY&amp;form=skydnc</v>
    <v>Learn more on Bing</v>
  </rv>
  <rv s="5">
    <v>en-US</v>
    <v>a1o9gh</v>
    <v>268435456</v>
    <v>1</v>
    <v>Powered by Refinitiv</v>
    <v>7</v>
    <v>Best Buy Co., Inc. (XNYS:BBY)</v>
    <v>8</v>
    <v>9</v>
    <v>Finance</v>
    <v>5</v>
    <v>103.71</v>
    <v>54.99</v>
    <v>1.3051999999999999</v>
    <v>-0.84</v>
    <v>1.1440000000000001E-3</v>
    <v>-1.1871E-2</v>
    <v>0.08</v>
    <v>USD</v>
    <v>Best Buy Co., Inc. is engaged in personalizing and humanizing technology solutions. It operates in two segments: Domestic and International. The Domestic segment comprises its operations in all states, districts and territories of the United States and its Best Buy Health business, and includes the brand names Best Buy, Best Buy Ads, Best Buy Business, Best Buy Essentials, Best Buy Health, Current Health, Geek Squad, Imagine That, Insignia, Lively, My Best Buy, My Best Buy Memberships, Pacific Kitchen and Home, TechLiquidators and Yardbird; and the domain names bestbuy.com, currenthealth.com, lively.com, techliquidators.com and yardbird.com. The International segment comprises all operations in Canada under the brand names Best Buy, Best Buy Express, Best Buy Mobile, Geek Squad and TechLiquidators and the domain names bestbuy.ca and techliquidators.ca. Its product categories include computing and mobile phones, consumer electronics, appliances, entertainment, services and others.</v>
    <v>85000</v>
    <v>New York Stock Exchange</v>
    <v>XNYS</v>
    <v>XNYS</v>
    <v>7601 Penn Ave S, RICHFIELD, MN, 55423 US</v>
    <v>70.72</v>
    <v>Specialty Retailers</v>
    <v>Stock</v>
    <v>45800.99632896953</v>
    <v>7</v>
    <v>67.56</v>
    <v>14801050000</v>
    <v>Best Buy Co., Inc.</v>
    <v>Best Buy Co., Inc.</v>
    <v>67.75</v>
    <v>16.542400000000001</v>
    <v>70.760000000000005</v>
    <v>69.92</v>
    <v>70</v>
    <v>211685500</v>
    <v>BBY</v>
    <v>Best Buy Co., Inc. (XNYS:BBY)</v>
    <v>3591184</v>
    <v>3302801</v>
    <v>1966</v>
  </rv>
  <rv s="4">
    <v>8</v>
  </rv>
  <rv s="0">
    <v>https://www.bing.com/financeapi/forcetrigger?t=c11cgh&amp;q=XNYS%3aCOUR&amp;form=skydnc</v>
    <v>Learn more on Bing</v>
  </rv>
  <rv s="6">
    <v>en-CA</v>
    <v>c11cgh</v>
    <v>268435456</v>
    <v>1</v>
    <v>Powered by Refinitiv</v>
    <v>10</v>
    <v>COURSERA, INC. (XNYS:COUR)</v>
    <v>8</v>
    <v>11</v>
    <v>Finance</v>
    <v>5</v>
    <v>11.74</v>
    <v>5.76</v>
    <v>1.3751</v>
    <v>-0.08</v>
    <v>-3.1877000000000003E-2</v>
    <v>-9.356999999999999E-3</v>
    <v>-0.27</v>
    <v>USD</v>
    <v>Coursera, Inc. provides an online learning platform that connects learners, educators, and institutions by providing affordable and relevant educational content. It offers a range of paid offerings, including standalone courses, multi-course specializations, industry certificate programs, and university degrees. Its segments include Consumer, Enterprise, and Degrees. The Consumer segment targets individual learners seeking to obtain hands-on learning, gain valuable job skills, receive professional-level certifications, and otherwise increase their knowledge to start or advance their careers. The Enterprise segment is focused on serving businesses, government organizations, and academic institutions by providing an online platform with access to job-relevant educational content enabling them to train, upskill, and reskill their employees, citizens, and students. The Degrees segment is engaged in partnering with universities to deliver fully online bachelor’s and master’s degrees.</v>
    <v>1260</v>
    <v>New York Stock Exchange</v>
    <v>XNYS</v>
    <v>XNYS</v>
    <v>2440 West El Camino Real, MOUNTAIN VIEW, CA, 94040 US</v>
    <v>8.56</v>
    <v>Software &amp; IT Services</v>
    <v>Stock</v>
    <v>45800.958333344533</v>
    <v>10</v>
    <v>8.42</v>
    <v>1367058000</v>
    <v>COURSERA, INC.</v>
    <v>COURSERA, INC.</v>
    <v>8.42</v>
    <v>8.5500000000000007</v>
    <v>8.4700000000000006</v>
    <v>8.1999999999999993</v>
    <v>161400000</v>
    <v>COUR</v>
    <v>COURSERA, INC. (XNYS:COUR)</v>
    <v>1384022</v>
    <v>2181032</v>
    <v>2011</v>
  </rv>
  <rv s="4">
    <v>11</v>
  </rv>
  <rv s="7">
    <v>12</v>
    <v>P/E</v>
    <v>0</v>
  </rv>
  <rv s="0">
    <v>https://www.bing.com/financeapi/forcetrigger?t=ab1our&amp;q=XTSE%3aVFV&amp;form=skydnc</v>
    <v>Learn more on Bing</v>
  </rv>
  <rv s="8">
    <v>en-CA</v>
    <v>ab1our</v>
    <v>268435456</v>
    <v>1</v>
    <v>Powered by Refinitiv</v>
    <v>12</v>
    <v>Vanguard S&amp;P 500 Index ETF (XTSE:VFV)</v>
    <v>13</v>
    <v>14</v>
    <v>Finance</v>
    <v>15</v>
    <v>157.38</v>
    <v>121.61</v>
    <v>0.97829999999999995</v>
    <v>2.17</v>
    <v>1.5344999999999999E-2</v>
    <v>CAD</v>
    <v>Toronto Stock Exchange</v>
    <v>XTSE</v>
    <v>8.9999999999999998E-4</v>
    <v>143.77000000000001</v>
    <v>ETF</v>
    <v>45803.833287037036</v>
    <v>14</v>
    <v>142.66999999999999</v>
    <v>20606442711.279999</v>
    <v>Vanguard S&amp;P 500 Index ETF</v>
    <v>142.66999999999999</v>
    <v>141.41</v>
    <v>143.58000000000001</v>
    <v>VFV</v>
    <v>Vanguard S&amp;P 500 Index ETF (XTSE:VFV)</v>
    <v>108977</v>
  </rv>
  <rv s="4">
    <v>15</v>
  </rv>
  <rv s="7">
    <v>12</v>
    <v>Volume average</v>
    <v>0</v>
  </rv>
  <rv s="0">
    <v>https://www.bing.com/financeapi/forcetrigger?t=a1yv52&amp;q=XNAS%3aNVDA&amp;form=skydnc</v>
    <v>Learn more on Bing</v>
  </rv>
  <rv s="5">
    <v>en-CA</v>
    <v>a1yv52</v>
    <v>268435456</v>
    <v>1</v>
    <v>Powered by Refinitiv</v>
    <v>7</v>
    <v>NVIDIA CORPORATION (XNAS:NVDA)</v>
    <v>8</v>
    <v>9</v>
    <v>Finance</v>
    <v>5</v>
    <v>153.13</v>
    <v>86.62</v>
    <v>2.1101999999999999</v>
    <v>-1.54</v>
    <v>-8.3779999999999998E-4</v>
    <v>-1.1594E-2</v>
    <v>-0.11</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132.68</v>
    <v>Semiconductors &amp; Semiconductor Equipment</v>
    <v>Stock</v>
    <v>45800.999985775001</v>
    <v>18</v>
    <v>129.16</v>
    <v>3201842000000</v>
    <v>NVIDIA CORPORATION</v>
    <v>NVIDIA CORPORATION</v>
    <v>130</v>
    <v>45.188099999999999</v>
    <v>132.83000000000001</v>
    <v>131.29</v>
    <v>131.18</v>
    <v>24387560000</v>
    <v>NVDA</v>
    <v>NVIDIA CORPORATION (XNAS:NVDA)</v>
    <v>198821324</v>
    <v>220571620</v>
    <v>1998</v>
  </rv>
  <rv s="4">
    <v>19</v>
  </rv>
  <rv s="0">
    <v>https://www.bing.com/financeapi/forcetrigger?t=a25552&amp;q=XNYS%3aRTX&amp;form=skydnc</v>
    <v>Learn more on Bing</v>
  </rv>
  <rv s="5">
    <v>en-CA</v>
    <v>a25552</v>
    <v>268435456</v>
    <v>1</v>
    <v>Powered by Refinitiv</v>
    <v>7</v>
    <v>RTX CORPORATION (XNYS:RTX)</v>
    <v>8</v>
    <v>9</v>
    <v>Finance</v>
    <v>5</v>
    <v>138.82</v>
    <v>99.070999999999998</v>
    <v>0.6038</v>
    <v>-1.04</v>
    <v>-2.3419999999999999E-3</v>
    <v>-7.7969999999999992E-3</v>
    <v>-0.31</v>
    <v>USD</v>
    <v>RTX Corporation is an aerospace and defense company, which provides advanced systems and services for commercial, military, and government customers worldwide. The Company operates through three segments: Collins Aerospace, Pratt &amp; Whitney, and Raytheon. Collins Aerospace segment provides technologically advanced aerospace and defense products and aftermarket service solutions for civil and military aircraft manufacturers, commercial airlines, and regional, business and general aviation, as well as for defense and commercial space operations. The Pratt &amp; Whitney segment supplies aircraft engines for commercial, military, business jet, and general aviation customers. The Raytheon segment provides defensive and offensive threat detection, tracking and mitigation capabilities for the United States and foreign government and commercial customers. The Raytheon designs, develops, and provides advanced capabilities in integrated air and missile defense, smart weapons, missiles and others.</v>
    <v>186000</v>
    <v>New York Stock Exchange</v>
    <v>XNYS</v>
    <v>XNYS</v>
    <v>1000 Wilson Blvd, ARLINGTON, VA, 22209 US</v>
    <v>133.38999999999999</v>
    <v>Aerospace &amp; Defense</v>
    <v>Stock</v>
    <v>45800.999766481247</v>
    <v>21</v>
    <v>131.32</v>
    <v>176813500000</v>
    <v>RTX CORPORATION</v>
    <v>RTX CORPORATION</v>
    <v>131.85</v>
    <v>39.114199999999997</v>
    <v>133.38999999999999</v>
    <v>132.35</v>
    <v>132.04</v>
    <v>1335954000</v>
    <v>RTX</v>
    <v>RTX CORPORATION (XNYS:RTX)</v>
    <v>5510145</v>
    <v>5583612</v>
    <v>1934</v>
  </rv>
  <rv s="4">
    <v>22</v>
  </rv>
  <rv s="0">
    <v>https://www.bing.com/financeapi/forcetrigger?t=a25ya2&amp;q=XNYS%3aWMT&amp;form=skydnc</v>
    <v>Learn more on Bing</v>
  </rv>
  <rv s="5">
    <v>en-CA</v>
    <v>a25ya2</v>
    <v>268435456</v>
    <v>1</v>
    <v>Powered by Refinitiv</v>
    <v>7</v>
    <v>WALMART INC. (XNYS:WMT)</v>
    <v>8</v>
    <v>9</v>
    <v>Finance</v>
    <v>5</v>
    <v>105.3</v>
    <v>64.16</v>
    <v>0.69259999999999999</v>
    <v>0.41</v>
    <v>5.1900000000000004E-4</v>
    <v>4.274E-3</v>
    <v>0.05</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through its subsidiaries, as well as eCommerce and omni-channel initiatives. The Sam's Club U.S. segment includes the warehouse membership clubs in the U.S., as well as samsclub.com and omni-channel initiatives.</v>
    <v>2100000</v>
    <v>New York Stock Exchange</v>
    <v>XNYS</v>
    <v>XNYS</v>
    <v>1 Customer Drive, BENTONVILLE, AR, 72716 US</v>
    <v>96.54</v>
    <v>Food &amp; Drug Retailing</v>
    <v>Stock</v>
    <v>45800.999495277341</v>
    <v>24</v>
    <v>95</v>
    <v>770805400000</v>
    <v>WALMART INC.</v>
    <v>WALMART INC.</v>
    <v>95.34</v>
    <v>41.153300000000002</v>
    <v>95.93</v>
    <v>96.34</v>
    <v>96.39</v>
    <v>8000887000</v>
    <v>WMT</v>
    <v>WALMART INC. (XNYS:WMT)</v>
    <v>13668621</v>
    <v>18240261</v>
    <v>1969</v>
  </rv>
  <rv s="4">
    <v>25</v>
  </rv>
  <rv s="0">
    <v>https://www.bing.com/financeapi/forcetrigger?t=a22k9c&amp;q=XNAS%3aSBUX&amp;form=skydnc</v>
    <v>Learn more on Bing</v>
  </rv>
  <rv s="5">
    <v>en-CA</v>
    <v>a22k9c</v>
    <v>268435456</v>
    <v>1</v>
    <v>Powered by Refinitiv</v>
    <v>7</v>
    <v>STARBUCKS CORPORATION (XNAS:SBUX)</v>
    <v>8</v>
    <v>9</v>
    <v>Finance</v>
    <v>5</v>
    <v>117.46</v>
    <v>71.55</v>
    <v>0.99360000000000004</v>
    <v>0.43</v>
    <v>-1.8529999999999998E-3</v>
    <v>5.1209999999999997E-3</v>
    <v>-0.15640000000000001</v>
    <v>USD</v>
    <v>Starbucks Corporations is a roaster, marketer, and retailer of specialty coffee globally. Its North America segment includes the United States and Canada. Its International segment includes China, Japan, Asia Pacific, Europe, Middle East and Africa, Latin America, and the Caribbean. Its North America and International segments include both Company-operated and licensed stores. The Channel Development segment includes roasted whole bean and ground coffees, Starbucks-branded single-serve products, a variety of ready-to-drink beverages, such as Frappuccino and Starbucks Doubleshot, foodservice products, and other branded products sold outside the Company-operated and licensed stores. A large portion of its Channel Development business operates under a licensed model of the Global Coffee Alliance with Nestle, while its global ready-to-drink businesses operate under collaborative relationships with PepsiCo, Inc., Tingyi-Ashi Beverages Holding Co., Ltd., Arla Foods amba, Nestle, and others.</v>
    <v>361000</v>
    <v>Nasdaq Stock Market</v>
    <v>XNAS</v>
    <v>XNAS</v>
    <v>2401 Utah Ave S, Ms: S-La1, SEATTLE, WA, 98134 US</v>
    <v>84.825000000000003</v>
    <v>Hotels &amp; Entertainment Services</v>
    <v>Stock</v>
    <v>45800.998433101566</v>
    <v>27</v>
    <v>82.57</v>
    <v>95912160000</v>
    <v>STARBUCKS CORPORATION</v>
    <v>STARBUCKS CORPORATION</v>
    <v>82.58</v>
    <v>30.523299999999999</v>
    <v>83.97</v>
    <v>84.4</v>
    <v>84.243600000000001</v>
    <v>1136400000</v>
    <v>SBUX</v>
    <v>STARBUCKS CORPORATION (XNAS:SBUX)</v>
    <v>7088243</v>
    <v>12196020</v>
    <v>1985</v>
  </rv>
  <rv s="4">
    <v>28</v>
  </rv>
  <rv s="0">
    <v>https://www.bing.com/financeapi/forcetrigger?t=a1vo7w&amp;q=XNYS%3aIP&amp;form=skydnc</v>
    <v>Learn more on Bing</v>
  </rv>
  <rv s="5">
    <v>en-CA</v>
    <v>a1vo7w</v>
    <v>268435456</v>
    <v>1</v>
    <v>Powered by Refinitiv</v>
    <v>7</v>
    <v>INTERNATIONAL PAPER COMPANY (XNYS:IP)</v>
    <v>8</v>
    <v>9</v>
    <v>Finance</v>
    <v>5</v>
    <v>60.36</v>
    <v>41.5</v>
    <v>1.0225</v>
    <v>-0.498</v>
    <v>3.7759999999999998E-3</v>
    <v>-1.0339000000000001E-2</v>
    <v>0.18</v>
    <v>USD</v>
    <v>International Paper Company provides sustainable packaging solutions. It produces renewable fiber-based packaging and pulp products. It operates through two segments: Industrial Packaging and Global Cellulose Fibers. The Industrial Packaging segment is focused on creating fiber-based packaging that protects and promotes goods, enables worldwide commerce, and helps keep consumers safe. It produces linerboard, medium, whitetop, recycled linerboard, recycled medium and saturating kraft. Additionally, it recycles about one million tons of OCC and mixed and white paper. The Global Cellulose Fibers segment primarily focuses on producing cellulose fibers, which is a renewable raw material used in a variety of products people depend on every day, such as diapers, towel and tissue products, feminine care, incontinence and other personal care products. In addition, its specialty pulps serve as a sustainable raw material used in textiles, construction materials, paints, coatings and more.</v>
    <v>37000</v>
    <v>New York Stock Exchange</v>
    <v>XNYS</v>
    <v>XNYS</v>
    <v>6400 Poplar Avenue, MEMPHIS, TN, 38197 US</v>
    <v>47.96</v>
    <v>Containers &amp; Packaging</v>
    <v>Stock</v>
    <v>45800.98460207109</v>
    <v>30</v>
    <v>47.34</v>
    <v>25165060000</v>
    <v>INTERNATIONAL PAPER COMPANY</v>
    <v>INTERNATIONAL PAPER COMPANY</v>
    <v>47.37</v>
    <v>41.062100000000001</v>
    <v>48.167999999999999</v>
    <v>47.67</v>
    <v>47.85</v>
    <v>527901600</v>
    <v>IP</v>
    <v>INTERNATIONAL PAPER COMPANY (XNYS:IP)</v>
    <v>2695759</v>
    <v>4686718</v>
    <v>1941</v>
  </rv>
  <rv s="4">
    <v>31</v>
  </rv>
  <rv s="0">
    <v>https://www.bing.com/financeapi/forcetrigger?t=a24ynm&amp;q=XNYS%3aUPS&amp;form=skydnc</v>
    <v>Learn more on Bing</v>
  </rv>
  <rv s="5">
    <v>en-CA</v>
    <v>a24ynm</v>
    <v>268435456</v>
    <v>1</v>
    <v>Powered by Refinitiv</v>
    <v>7</v>
    <v>UNITED PARCEL SERVICE, INC. (XNYS:UPS)</v>
    <v>8</v>
    <v>9</v>
    <v>Finance</v>
    <v>5</v>
    <v>148.15</v>
    <v>90.55</v>
    <v>1.2003999999999999</v>
    <v>-1.6</v>
    <v>3.0620000000000002E-4</v>
    <v>-1.6500000000000001E-2</v>
    <v>2.92E-2</v>
    <v>USD</v>
    <v>United Parcel Service, Inc. provides a range of integrated logistics solutions for customers in more than 200 countries and territories. Its segments include U.S. Domestic Package and International Package. U.S. Domestic Package segment offers a range of United States domestic air and ground package transportation services. Its air portfolio offers time-definite, same-day, next-day, two-day and three-day delivery alternatives as well as air cargo services. Its ground network enables customers to ship using its day-definite ground service. UPS SurePost provides residential ground service for customers with non-urgent, lightweight residential shipments. International Package segment consists of its small package operations in Europe, Indian sub-continent, Middle East and Africa, Canada and Latin America and Asia. It offers a selection of guaranteed day- and time-definite international shipping services. Its supply chain solutions consist of forwarding, logistics, and other businesses.</v>
    <v>490000</v>
    <v>New York Stock Exchange</v>
    <v>XNYS</v>
    <v>XNYS</v>
    <v>55 Glenlake Parkway Ne, ATLANTA, GA, 30328 US</v>
    <v>96.17</v>
    <v>Freight &amp; Logistics Services</v>
    <v>Stock</v>
    <v>45800.9999503125</v>
    <v>33</v>
    <v>95.23</v>
    <v>80759110000</v>
    <v>UNITED PARCEL SERVICE, INC.</v>
    <v>UNITED PARCEL SERVICE, INC.</v>
    <v>95.61</v>
    <v>14.146699999999999</v>
    <v>96.97</v>
    <v>95.37</v>
    <v>95.399199999999993</v>
    <v>846797800</v>
    <v>UPS</v>
    <v>UNITED PARCEL SERVICE, INC. (XNYS:UPS)</v>
    <v>3318510</v>
    <v>6158702</v>
    <v>1999</v>
  </rv>
  <rv s="4">
    <v>34</v>
  </rv>
  <rv s="0">
    <v>https://www.bing.com/financeapi/forcetrigger?t=a1wyu2&amp;q=XNYS%3aLLY&amp;form=skydnc</v>
    <v>Learn more on Bing</v>
  </rv>
  <rv s="5">
    <v>en-CA</v>
    <v>a1wyu2</v>
    <v>268435456</v>
    <v>1</v>
    <v>Powered by Refinitiv</v>
    <v>7</v>
    <v>ELI LILLY AND COMPANY (XNYS:LLY)</v>
    <v>8</v>
    <v>9</v>
    <v>Finance</v>
    <v>5</v>
    <v>972.53</v>
    <v>677.09119999999996</v>
    <v>0.42749999999999999</v>
    <v>-1.49</v>
    <v>1.1070000000000001E-3</v>
    <v>-2.0830000000000002E-3</v>
    <v>0.79</v>
    <v>USD</v>
    <v>Eli Lilly and Company is a medicine company, which discovers, develops, manufactures and markets products in the human pharmaceutical products segment. Its cardiometabolic health products include Basaglar; Humalog, Humalog Mix 75/25, Humalog U-100, Humalog U-200, Humalog Mix 50/50, insulin lispro, and others; Humulin, Humulin 70/30, and others; Jardiance; Mounjaro; Trulicity, and Zepbound. Its oncology products include Cyramza, Erbitux, Tyvyt, and Verzenio. Its immunology products include Ebglyss, Olumiant, Omvoh, and Taltz. Its neuroscience products include Emgality and Kisunla. The Company, through its subsidiary, POINT Biopharma Global Inc., is engaged in radiopharmaceutical discovery, development, and manufacturing efforts, as well as clinical and pre-clinical radioligand therapies in development for the treatment of cancer. It is also developing an oral small molecule inhibitor of a4b7 integrin for inflammatory bowel disease (IBD). It also owns a lead therapeutic molecule, FXR314.</v>
    <v>47000</v>
    <v>New York Stock Exchange</v>
    <v>XNYS</v>
    <v>XNYS</v>
    <v>Lilly Corporate Ctr, Drop Code 1094, INDIANAPOLIS, IN, 46285 US</v>
    <v>719.64</v>
    <v>Pharmaceuticals</v>
    <v>Stock</v>
    <v>45800.999926562501</v>
    <v>36</v>
    <v>709</v>
    <v>676408400000</v>
    <v>ELI LILLY AND COMPANY</v>
    <v>ELI LILLY AND COMPANY</v>
    <v>710</v>
    <v>58.143300000000004</v>
    <v>715.2</v>
    <v>713.71</v>
    <v>714.5</v>
    <v>947735700</v>
    <v>LLY</v>
    <v>ELI LILLY AND COMPANY (XNYS:LLY)</v>
    <v>2635706</v>
    <v>5022123</v>
    <v>1901</v>
  </rv>
  <rv s="4">
    <v>37</v>
  </rv>
  <rv s="0">
    <v>https://www.bing.com/financeapi/forcetrigger?t=a24mnm&amp;q=XNAS%3aTTWO&amp;form=skydnc</v>
    <v>Learn more on Bing</v>
  </rv>
  <rv s="5">
    <v>en-CA</v>
    <v>a24mnm</v>
    <v>268435456</v>
    <v>1</v>
    <v>Powered by Refinitiv</v>
    <v>7</v>
    <v>TAKE-TWO INTERACTIVE SOFTWARE, INC. (XNAS:TTWO)</v>
    <v>8</v>
    <v>9</v>
    <v>Finance</v>
    <v>5</v>
    <v>240.78</v>
    <v>135.24</v>
    <v>1.0467</v>
    <v>-1.02</v>
    <v>2.222E-3</v>
    <v>-4.5129999999999997E-3</v>
    <v>0.5</v>
    <v>USD</v>
    <v>Take-Two Interactive Software, Inc. is a developer, publisher, and marketer of interactive entertainment for consumers around the globe. The Company develops, operates and publishes products principally through Rockstar Games, 2K, Private Division, and Zynga. Its products are designed for console gaming systems, including Sony's PlayStation 4 and PlayStation 5; Microsoft Corporation Xbox One and Xbox Series XS; and Nintendo's Switch, as well as personal computers (PC), and mobile, including smartphones and tablets. The Company delivers its products through physical retail, digital download, online platforms, and cloud streaming services. The Company is focused on publishing a select number of titles based on internally owned and developed intellectual properties. In addition, the Company selectively develops titles based on licensed properties, including sports leagues, and also publishes externally developed titles.</v>
    <v>12928</v>
    <v>Nasdaq Stock Market</v>
    <v>XNAS</v>
    <v>XNAS</v>
    <v>110 West 44Th Street, NEW YORK, NY, 10036 US</v>
    <v>226.16</v>
    <v>Software &amp; IT Services</v>
    <v>Stock</v>
    <v>45800.998947117965</v>
    <v>39</v>
    <v>224.0001</v>
    <v>41084730000</v>
    <v>TAKE-TWO INTERACTIVE SOFTWARE, INC.</v>
    <v>TAKE-TWO INTERACTIVE SOFTWARE, INC.</v>
    <v>225.92</v>
    <v>0</v>
    <v>226.01</v>
    <v>224.99</v>
    <v>225.49</v>
    <v>182606900</v>
    <v>TTWO</v>
    <v>TAKE-TWO INTERACTIVE SOFTWARE, INC. (XNAS:TTWO)</v>
    <v>1863014</v>
    <v>2714464</v>
    <v>1993</v>
  </rv>
  <rv s="4">
    <v>40</v>
  </rv>
  <rv s="0">
    <v>https://www.bing.com/financeapi/forcetrigger?t=a1mou2&amp;q=XNAS%3aAAPL&amp;form=skydnc</v>
    <v>Learn more on Bing</v>
  </rv>
  <rv s="5">
    <v>en-CA</v>
    <v>a1mou2</v>
    <v>268435456</v>
    <v>1</v>
    <v>Powered by Refinitiv</v>
    <v>7</v>
    <v>APPLE INC. (XNAS:AAPL)</v>
    <v>8</v>
    <v>9</v>
    <v>Finance</v>
    <v>5</v>
    <v>260.10000000000002</v>
    <v>169.21010000000001</v>
    <v>1.2363</v>
    <v>-6.09</v>
    <v>2.7139999999999998E-3</v>
    <v>-3.0244E-2</v>
    <v>0.53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197.7</v>
    <v>Computers, Phones &amp; Household Electronics</v>
    <v>Stock</v>
    <v>45800.99999928203</v>
    <v>42</v>
    <v>193.46</v>
    <v>2916519000000</v>
    <v>APPLE INC.</v>
    <v>APPLE INC.</v>
    <v>193.66499999999999</v>
    <v>28.4404</v>
    <v>201.36</v>
    <v>195.27</v>
    <v>195.8</v>
    <v>14935830000</v>
    <v>AAPL</v>
    <v>APPLE INC. (XNAS:AAPL)</v>
    <v>78432918</v>
    <v>52469350</v>
    <v>1977</v>
  </rv>
  <rv s="4">
    <v>43</v>
  </rv>
  <rv s="0">
    <v>https://www.bing.com/financeapi/forcetrigger?t=a1xzr7&amp;q=XNYS%3aMSI&amp;form=skydnc</v>
    <v>Learn more on Bing</v>
  </rv>
  <rv s="5">
    <v>en-CA</v>
    <v>a1xzr7</v>
    <v>268435456</v>
    <v>1</v>
    <v>Powered by Refinitiv</v>
    <v>7</v>
    <v>MOTOROLA SOLUTIONS, INC. (XNYS:MSI)</v>
    <v>8</v>
    <v>9</v>
    <v>Finance</v>
    <v>5</v>
    <v>507.82</v>
    <v>356.77</v>
    <v>0.99319999999999997</v>
    <v>-2.8</v>
    <v>0</v>
    <v>-6.6390000000000008E-3</v>
    <v>0</v>
    <v>USD</v>
    <v>Motorola Solutions, Inc. provides public safety and enterprise security. The Company offers safety and security technologies, which include land mobile radio communications (LMR), video security, and command center. Across technologies, it offers cloud-based and hybrid software solutions, and services such as cybersecurity subscription services and managed and support services. Its segments include Products and Systems Integration, and Software and Services. The Products and Systems Integration segment offers a portfolio of infrastructure, devices, accessories, video security devices and infrastructure, and the implementation and integration of such systems, devices, and applications. The Company's Software and Services segment provides a range of solution offerings for government, public safety and commercial customers. Its Software includes public safety and enterprise Command Center, unified communications applications, certain mobile video equipment, and video software solutions.</v>
    <v>21000</v>
    <v>New York Stock Exchange</v>
    <v>XNYS</v>
    <v>XNYS</v>
    <v>500 W. Monroe St., CHICAGO, IL, 60661 US</v>
    <v>421.3</v>
    <v>Communications &amp; Networking</v>
    <v>Stock</v>
    <v>45800.958333344533</v>
    <v>45</v>
    <v>416.97</v>
    <v>69924370000</v>
    <v>MOTOROLA SOLUTIONS, INC.</v>
    <v>MOTOROLA SOLUTIONS, INC.</v>
    <v>420.06</v>
    <v>35.181699999999999</v>
    <v>421.72</v>
    <v>418.92</v>
    <v>418.92</v>
    <v>166915800</v>
    <v>MSI</v>
    <v>MOTOROLA SOLUTIONS, INC. (XNYS:MSI)</v>
    <v>563172</v>
    <v>894542</v>
    <v>1973</v>
  </rv>
  <rv s="4">
    <v>46</v>
  </rv>
  <rv s="0">
    <v>https://www.bing.com/financeapi/forcetrigger?t=a1tpsm&amp;q=XNYS%3aGDDY&amp;form=skydnc</v>
    <v>Learn more on Bing</v>
  </rv>
  <rv s="5">
    <v>en-CA</v>
    <v>a1tpsm</v>
    <v>268435456</v>
    <v>1</v>
    <v>Powered by Refinitiv</v>
    <v>7</v>
    <v>GODADDY INC. (XNYS:GDDY)</v>
    <v>8</v>
    <v>9</v>
    <v>Finance</v>
    <v>5</v>
    <v>216</v>
    <v>135.72499999999999</v>
    <v>1.0932999999999999</v>
    <v>-1.1299999999999999</v>
    <v>-2.6250000000000002E-3</v>
    <v>-6.1419999999999999E-3</v>
    <v>-0.48</v>
    <v>USD</v>
    <v>GoDaddy Inc. is engaged in serving a market of entrepreneurs, developing and delivering easy-to-use products in a one-stop shop solution alongside personalized guidance. The Company serves small businesses, individuals, organizations, developers, designers and domain investors. The Company's segments include Applications and Commerce (A&amp;C) and Core Platform (Core). The A&amp;C segment primarily consists of sales of products containing proprietary software, notably its Website building products, as well as its commerce products and third-party email and productivity solutions and sales of certain products when they are included in bundled offerings of its proprietary software products. The Core segment primarily consists of sales of domain registrations and renewals, aftermarket domain sales, Website hosting products and Website security products when not included in bundled offerings of its proprietary software products, as well as sales of products not containing a software component.</v>
    <v>5518</v>
    <v>New York Stock Exchange</v>
    <v>XNYS</v>
    <v>XNYS</v>
    <v>100 S. Mill Ave, Suite 1600, TEMPE, AZ, 85281 US</v>
    <v>184.3</v>
    <v>Software &amp; IT Services</v>
    <v>Stock</v>
    <v>45800.997765728906</v>
    <v>48</v>
    <v>181.96</v>
    <v>26052540000</v>
    <v>GODADDY INC.</v>
    <v>GODADDY INC.</v>
    <v>182.77</v>
    <v>35.331200000000003</v>
    <v>183.97</v>
    <v>182.84</v>
    <v>182.36</v>
    <v>142488200</v>
    <v>GDDY</v>
    <v>GODADDY INC. (XNYS:GDDY)</v>
    <v>880102</v>
    <v>1380533</v>
    <v>2014</v>
  </rv>
  <rv s="4">
    <v>49</v>
  </rv>
  <rv s="0">
    <v>https://www.bing.com/financeapi/forcetrigger?t=a26fim&amp;q=XNYS%3aZBH&amp;form=skydnc</v>
    <v>Learn more on Bing</v>
  </rv>
  <rv s="5">
    <v>en-CA</v>
    <v>a26fim</v>
    <v>268435456</v>
    <v>1</v>
    <v>Powered by Refinitiv</v>
    <v>7</v>
    <v>ZIMMER BIOMET HOLDINGS, INC. (XNYS:ZBH)</v>
    <v>8</v>
    <v>9</v>
    <v>Finance</v>
    <v>5</v>
    <v>119.057</v>
    <v>89.92</v>
    <v>0.74909999999999999</v>
    <v>0.97</v>
    <v>-4.9649999999999998E-3</v>
    <v>1.0581E-2</v>
    <v>-0.46</v>
    <v>USD</v>
    <v>Zimmer Biomet Holdings, Inc. is a global medical technology company. Its segments include Americas, Europe, Middle East and Africa (EMEA), and Asia Pacific. The Company designs, manufactures and markets orthopedic reconstructive products; biologics, sports medicine, extremities and trauma (S.E.T.) products; craniomaxillofacial and thoracic (CMFT) products; surgical products; and a suite of integrated digital and robotic technologies that leverage data, data analytics and artificial intelligence. Its products and solutions help treat patients suffering from disorders of, or injuries to, bones, joints or supporting soft tissues. Its knee brands include the Persona Knee, NexGen Knee Implants, Vanguard Knee, and Oxford Partial Knee. Its hip brands include the Taperloc Hip System, Avenir Complete Hip System, Arcos Modular Hip System, and G7 Acetabular System. Its S.E.T. product category includes sports medicine, biologics, foot and ankle, among others.</v>
    <v>17000</v>
    <v>New York Stock Exchange</v>
    <v>XNYS</v>
    <v>XNYS</v>
    <v>345 E Main St, WARSAW, IN, 46580-2746 US</v>
    <v>94</v>
    <v>Healthcare Equipment &amp; Supplies</v>
    <v>Stock</v>
    <v>45800.958333356248</v>
    <v>51</v>
    <v>90.2</v>
    <v>18328630000</v>
    <v>ZIMMER BIOMET HOLDINGS, INC.</v>
    <v>ZIMMER BIOMET HOLDINGS, INC.</v>
    <v>90.82</v>
    <v>20.3155</v>
    <v>91.67</v>
    <v>92.64</v>
    <v>92.18</v>
    <v>197847900</v>
    <v>ZBH</v>
    <v>ZIMMER BIOMET HOLDINGS, INC. (XNYS:ZBH)</v>
    <v>3141106</v>
    <v>2655066</v>
    <v>2001</v>
  </rv>
  <rv s="4">
    <v>52</v>
  </rv>
  <rv s="0">
    <v>https://www.bing.com/financeapi/forcetrigger?t=a25k5r&amp;q=XNAS%3aVRTX&amp;form=skydnc</v>
    <v>Learn more on Bing</v>
  </rv>
  <rv s="5">
    <v>en-CA</v>
    <v>a25k5r</v>
    <v>268435456</v>
    <v>1</v>
    <v>Powered by Refinitiv</v>
    <v>7</v>
    <v>VERTEX PHARMACEUTICALS INCORPORATED (XNAS:VRTX)</v>
    <v>8</v>
    <v>9</v>
    <v>Finance</v>
    <v>5</v>
    <v>519.88</v>
    <v>377.85</v>
    <v>0.44190000000000002</v>
    <v>1.97</v>
    <v>-3.8760000000000001E-3</v>
    <v>4.5390000000000005E-3</v>
    <v>-1.69</v>
    <v>USD</v>
    <v>Vertex Pharmaceuticals Incorporated is a global biotechnology company that invests in scientific innovation to create transformative medicines for people with serious diseases, with a focus on specialty markets. It has seven approved medicines: five that treat the underlying cause of cystic fibrosis (CF), one that treats severe sickle cell disease (SCD) and transfusion dependent beta thalassemia (TDT), and one that treats moderate-to-severe acute pain. Its pipeline includes clinical-stage programs in CF, SCD, beta thalassemia, acute and peripheral neuropathic pain, APOL1-mediated kidney disease, IgA nephropathy and other autoimmune renal diseases and cytopenias, type 1 diabetes, myotonic dystrophy type 1, and autosomal dominant polycystic kidney disease. Its marketed medicines are TRIKAFTA/KAFTRIO (elexacaftor/tezacaftor/ivacaftor and ivacaftor), SYMDEKO/SYMKEVI (elexacaftor/tezacaftor/ivacaftor and ivacaftor), ORKAMBI (lumacaftor/ivacaftor), and KALYDECO (ivacaftor).</v>
    <v>6100</v>
    <v>Nasdaq Stock Market</v>
    <v>XNAS</v>
    <v>XNAS</v>
    <v>50 Northern Avenue, BOSTON, MA, 02210 US</v>
    <v>436.59</v>
    <v>Pharmaceuticals</v>
    <v>Stock</v>
    <v>45800.99995991875</v>
    <v>54</v>
    <v>427.43</v>
    <v>111963600000</v>
    <v>VERTEX PHARMACEUTICALS INCORPORATED</v>
    <v>VERTEX PHARMACEUTICALS INCORPORATED</v>
    <v>428.68</v>
    <v>0</v>
    <v>434.03</v>
    <v>436</v>
    <v>434.31</v>
    <v>256797200</v>
    <v>VRTX</v>
    <v>VERTEX PHARMACEUTICALS INCORPORATED (XNAS:VRTX)</v>
    <v>1427494</v>
    <v>1969303</v>
    <v>1989</v>
  </rv>
  <rv s="4">
    <v>55</v>
  </rv>
  <rv s="0">
    <v>https://www.bing.com/financeapi/forcetrigger?t=a1nihw&amp;q=XNYS%3aANET&amp;form=skydnc</v>
    <v>Learn more on Bing</v>
  </rv>
  <rv s="5">
    <v>en-CA</v>
    <v>a1nihw</v>
    <v>268435456</v>
    <v>1</v>
    <v>Powered by Refinitiv</v>
    <v>7</v>
    <v>ARISTA NETWORKS, INC. (XNYS:ANET)</v>
    <v>8</v>
    <v>9</v>
    <v>Finance</v>
    <v>5</v>
    <v>133.57499999999999</v>
    <v>59.43</v>
    <v>1.3989</v>
    <v>-1.36</v>
    <v>-4.0569999999999998E-3</v>
    <v>-1.4693000000000001E-2</v>
    <v>-0.37</v>
    <v>USD</v>
    <v>Arista Networks, Inc. is a provider of data-driven, client-to-cloud networking for large artificial intelligence (AI), data center, campus and routing environments. Its platforms deliver availability, agility, automation, analytics, and security through an advanced network operating stack. Its platform is its Extensible Operating System (EOS), a modernized publish-subscribe state-sharing networking operating system. Its portfolio of products, services and technologies is grouped into various categories: Core (Data Center, Cloud and AI Networking), Cognitive Adjacencies (Campus and Routing), and Cognitive Network (Software and Services). It offers product portfolios of data-driven, high-speed, cloud and data center Ethernet switches. Its Cognitive Adjacencies include Cognitive Campus Switching, Cloud-Grade Routing and WAN Routing. Its software and services are based on subscription-based models and include various offerings: CloudVision, Arista A-Care Services, CloudEOS and others.</v>
    <v>4412</v>
    <v>New York Stock Exchange</v>
    <v>XNYS</v>
    <v>XNYS</v>
    <v>5453 Great America Pkwy, SANTA CLARA, CA, 95054 US</v>
    <v>91.63</v>
    <v>Communications &amp; Networking</v>
    <v>Stock</v>
    <v>45800.999876180467</v>
    <v>57</v>
    <v>89.54</v>
    <v>114540000000</v>
    <v>ARISTA NETWORKS, INC.</v>
    <v>ARISTA NETWORKS, INC.</v>
    <v>90</v>
    <v>39.1571</v>
    <v>92.56</v>
    <v>91.2</v>
    <v>90.83</v>
    <v>1255921000</v>
    <v>ANET</v>
    <v>ARISTA NETWORKS, INC. (XNYS:ANET)</v>
    <v>7452452</v>
    <v>10133901</v>
    <v>2011</v>
  </rv>
  <rv s="4">
    <v>58</v>
  </rv>
  <rv s="0">
    <v>https://www.bing.com/financeapi/forcetrigger?t=a1u3p2&amp;q=XNAS%3aGOOG&amp;form=skydnc</v>
    <v>Learn more on Bing</v>
  </rv>
  <rv s="5">
    <v>en-CA</v>
    <v>a1u3p2</v>
    <v>268435456</v>
    <v>1</v>
    <v>Powered by Refinitiv</v>
    <v>7</v>
    <v>ALPHABET INC. (XNAS:GOOG)</v>
    <v>8</v>
    <v>9</v>
    <v>Finance</v>
    <v>5</v>
    <v>208.7</v>
    <v>142.66</v>
    <v>1.0098</v>
    <v>-2.39</v>
    <v>-1.238E-3</v>
    <v>-1.3897E-2</v>
    <v>-0.21</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185719</v>
    <v>Nasdaq Stock Market</v>
    <v>XNAS</v>
    <v>XNAS</v>
    <v>1600 Amphitheatre Parkway, MOUNTAIN VIEW, CA, 94043 US</v>
    <v>171.20500000000001</v>
    <v>Software &amp; IT Services</v>
    <v>Stock</v>
    <v>45800.999591839842</v>
    <v>60</v>
    <v>169.26</v>
    <v>2050498000000</v>
    <v>ALPHABET INC.</v>
    <v>ALPHABET INC.</v>
    <v>170.28</v>
    <v>19.179600000000001</v>
    <v>171.98</v>
    <v>169.59</v>
    <v>169.38</v>
    <v>12135000000</v>
    <v>GOOG</v>
    <v>ALPHABET INC. (XNAS:GOOG)</v>
    <v>24963648</v>
    <v>27663004</v>
    <v>2015</v>
  </rv>
  <rv s="4">
    <v>61</v>
  </rv>
  <rv s="0">
    <v>https://www.bing.com/financeapi/forcetrigger?t=a1mptc&amp;q=XNYS%3aABC&amp;form=skydnc</v>
    <v>Learn more on Bing</v>
  </rv>
  <rv s="5">
    <v>en-CA</v>
    <v>a1mptc</v>
    <v>268435456</v>
    <v>1</v>
    <v>Powered by Refinitiv</v>
    <v>7</v>
    <v>Cencora, Inc. (XNYS:COR)</v>
    <v>8</v>
    <v>9</v>
    <v>Finance</v>
    <v>5</v>
    <v>309.35000000000002</v>
    <v>214.76859999999999</v>
    <v>0.58460000000000001</v>
    <v>2.2400000000000002</v>
    <v>6.4990000000000002E-4</v>
    <v>7.7210000000000004E-3</v>
    <v>0.19</v>
    <v>USD</v>
    <v>Cencora, Inc. is a global pharmaceutical sourcing and distribution services company. The Company helps both healthcare providers and pharmaceutical and biotech manufacturers improve patient access to products and enhance patient care. The Company operates through two segments: U.S. Healthcare Solutions and International Healthcare Solutions. The U.S. Healthcare Solutions segment distributes a comprehensive offering of brand-name, specialty brand-name and generic pharmaceuticals, over-the-counter healthcare products, home healthcare supplies and equipment, and related services to a variety of healthcare providers, including acute care hospitals and health systems, independent and chain retail pharmacies, long-term care and alternate site pharmacies, and other customers. The International Healthcare Solutions segment consists of businesses that focus on international pharmaceutical wholesale and related service operations and global commercialization services.</v>
    <v>42000</v>
    <v>New York Stock Exchange</v>
    <v>XNYS</v>
    <v>XNYS</v>
    <v>1 West First Avenue, CONSHOHOCKEN, PA, 19428 US</v>
    <v>293.42</v>
    <v>Healthcare Equipment &amp; Supplies</v>
    <v>Stock</v>
    <v>45800.998950150002</v>
    <v>63</v>
    <v>289.23</v>
    <v>56664300000</v>
    <v>Cencora, Inc.</v>
    <v>Cencora, Inc.</v>
    <v>292.32</v>
    <v>33.668399999999998</v>
    <v>290.11</v>
    <v>292.35000000000002</v>
    <v>292.54000000000002</v>
    <v>193823500</v>
    <v>COR</v>
    <v>Cencora, Inc. (XNYS:COR)</v>
    <v>1356523</v>
    <v>1812315</v>
    <v>2001</v>
  </rv>
  <rv s="4">
    <v>64</v>
  </rv>
  <rv s="0">
    <v>https://www.bing.com/financeapi/forcetrigger?t=a1y2bh&amp;q=XNAS%3aMTCH&amp;form=skydnc</v>
    <v>Learn more on Bing</v>
  </rv>
  <rv s="5">
    <v>en-CA</v>
    <v>a1y2bh</v>
    <v>268435456</v>
    <v>1</v>
    <v>Powered by Refinitiv</v>
    <v>7</v>
    <v>MATCH GROUP, INC. (XNAS:MTCH)</v>
    <v>8</v>
    <v>9</v>
    <v>Finance</v>
    <v>5</v>
    <v>38.840000000000003</v>
    <v>26.39</v>
    <v>1.3471</v>
    <v>-0.24</v>
    <v>-1.9514E-2</v>
    <v>-8.149E-3</v>
    <v>-0.56999999999999995</v>
    <v>USD</v>
    <v>Match Group, Inc., through its portfolio companies, is a provider of digital technologies designed to help people make connections. The Company’s global portfolio of brands includes Tinder, Hinge, Match, Meetic, OkCupid, Pairs, Plenty Of Fish, Azar, BLK, and more, each built to increase its users' likelihood of connecting with others. Its segments include Tinder, Hinge, Evergreen &amp; Emerging, and MG Asia. Tinder is an online dating platform with swipe technology. It offers Tinder Plus, Tinder Gold, or Tinder Platinum subscriptions. Hinge is an application focused on millennial and younger generations in English-speaking countries and several other European markets. It offers two premium subscriptions: Hinge+ and HingeX. MG Asia brands primarily focus on serving various Asian and Middle Eastern markets. MG Asia's brands are Azar and The Pairs. Match is an online dating application, and Meetic, a European online dating brand, are included in the Evergreen &amp; Emerging segment.</v>
    <v>2500</v>
    <v>Nasdaq Stock Market</v>
    <v>XNAS</v>
    <v>XNAS</v>
    <v>8750 NORTH CENTRAL EXPRESSWAY, SUITE 1400, DALLAS, TX, 75231 US</v>
    <v>29.37</v>
    <v>Software &amp; IT Services</v>
    <v>Stock</v>
    <v>45800.843993969531</v>
    <v>66</v>
    <v>28.984999999999999</v>
    <v>7163032000</v>
    <v>MATCH GROUP, INC.</v>
    <v>MATCH GROUP, INC.</v>
    <v>29.08</v>
    <v>14.611700000000001</v>
    <v>29.45</v>
    <v>29.21</v>
    <v>28.64</v>
    <v>245225300</v>
    <v>MTCH</v>
    <v>MATCH GROUP, INC. (XNAS:MTCH)</v>
    <v>3248511</v>
    <v>5107123</v>
    <v>1986</v>
  </rv>
  <rv s="4">
    <v>67</v>
  </rv>
  <rv s="0">
    <v>https://www.bing.com/financeapi/forcetrigger?t=a1nxu2&amp;q=XNYS%3aAU&amp;form=skydnc</v>
    <v>Learn more on Bing</v>
  </rv>
  <rv s="9">
    <v>en-CA</v>
    <v>a1nxu2</v>
    <v>268435456</v>
    <v>1</v>
    <v>Powered by Refinitiv</v>
    <v>16</v>
    <v>ANGLOGOLD ASHANTI (PTY) LTD (XNYS:AU)</v>
    <v>8</v>
    <v>17</v>
    <v>Finance</v>
    <v>5</v>
    <v>46.9</v>
    <v>22.13</v>
    <v>1.1599999999999999</v>
    <v>-5.6740000000000002E-3</v>
    <v>2.7052E-2</v>
    <v>-0.24990000000000001</v>
    <v>USD</v>
    <v>AngloGold Ashanti (Pty) Ltd, formerly AngloGold Ashanti Limited, is an independent, global gold mining company with a diverse portfolio of operations, projects and exploration activities across nine countries on four continents. The Company's principal product is gold. It also produces silver in Argentina and sulfuric acid in Brazil as by-products. In Colombia, Quebradona, produces both gold and copper. The Company operates through three segments: Africa, Australia and Americas. It has operations in Africa in locations, including the Democratic Republic of the Congo, Ghana, Guinea and Tanzania. The Americas segment includes the operations in Argentina, Brazil and Colombia. Its portfolio consists of Cerro Vanguardia SA, AGA Mineracao, Serra Grande, Greenfields projects, Iduapriem, Siguiri, Geita, Kibali, Obuasi and Sunrise Dam. Kibali is situated adjacent to the town of Doko. The Company also holds Sterling and Crown exploration properties in the Beatty district of southern Nevada.</v>
    <v>32594</v>
    <v>New York Stock Exchange</v>
    <v>XNYS</v>
    <v>XNYS</v>
    <v>112 Oxford Road, Houghton Estate, JOHANNESBURG, 2198 ZA</v>
    <v>44.52</v>
    <v>Metals &amp; Mining</v>
    <v>Stock</v>
    <v>45800.997083495313</v>
    <v>69</v>
    <v>43.88</v>
    <v>22174790000</v>
    <v>ANGLOGOLD ASHANTI (PTY) LTD</v>
    <v>ANGLOGOLD ASHANTI (PTY) LTD</v>
    <v>44.46</v>
    <v>15.181900000000001</v>
    <v>42.88</v>
    <v>44.04</v>
    <v>43.790100000000002</v>
    <v>503514900</v>
    <v>AU</v>
    <v>ANGLOGOLD ASHANTI (PTY) LTD (XNYS:AU)</v>
    <v>2420123</v>
    <v>3345372</v>
    <v>2023</v>
  </rv>
  <rv s="4">
    <v>70</v>
  </rv>
  <rv s="7">
    <v>12</v>
    <v>Beta</v>
    <v>0</v>
  </rv>
  <rv s="0">
    <v>https://www.bing.com/financeapi/forcetrigger?t=a1u3rw&amp;q=XNAS%3aGOOGL&amp;form=skydnc</v>
    <v>Learn more on Bing</v>
  </rv>
  <rv s="5">
    <v>en-CA</v>
    <v>a1u3rw</v>
    <v>268435456</v>
    <v>1</v>
    <v>Powered by Refinitiv</v>
    <v>7</v>
    <v>ALPHABET INC. (XNAS:GOOGL)</v>
    <v>8</v>
    <v>9</v>
    <v>Finance</v>
    <v>5</v>
    <v>207.05</v>
    <v>140.53</v>
    <v>1.0098</v>
    <v>-2.4</v>
    <v>-2.0180000000000003E-3</v>
    <v>-1.4046000000000001E-2</v>
    <v>-0.34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185719</v>
    <v>Nasdaq Stock Market</v>
    <v>XNAS</v>
    <v>XNAS</v>
    <v>1600 Amphitheatre Parkway, MOUNTAIN VIEW, CA, 94043 US</v>
    <v>169.96</v>
    <v>Software &amp; IT Services</v>
    <v>Stock</v>
    <v>45800.999980543747</v>
    <v>73</v>
    <v>167.89</v>
    <v>2050498000000</v>
    <v>ALPHABET INC.</v>
    <v>ALPHABET INC.</v>
    <v>169.05500000000001</v>
    <v>19.0472</v>
    <v>170.87</v>
    <v>168.47</v>
    <v>168.13</v>
    <v>12135000000</v>
    <v>GOOGL</v>
    <v>ALPHABET INC. (XNAS:GOOGL)</v>
    <v>35211439</v>
    <v>42538535</v>
    <v>2015</v>
  </rv>
  <rv s="4">
    <v>74</v>
  </rv>
  <rv s="0">
    <v>https://www.bing.com/financeapi/forcetrigger?t=bxb5m7&amp;q=XNYS%3aIONQ&amp;form=skydnc</v>
    <v>Learn more on Bing</v>
  </rv>
  <rv s="6">
    <v>en-CA</v>
    <v>bxb5m7</v>
    <v>268435456</v>
    <v>1</v>
    <v>Powered by Refinitiv</v>
    <v>10</v>
    <v>IONQ, INC. (XNYS:IONQ)</v>
    <v>8</v>
    <v>11</v>
    <v>Finance</v>
    <v>5</v>
    <v>54.74</v>
    <v>6.22</v>
    <v>2.6166999999999998</v>
    <v>-0.1</v>
    <v>-4.1580000000000002E-3</v>
    <v>-2.1840000000000002E-3</v>
    <v>-0.19</v>
    <v>USD</v>
    <v>IonQ, Inc. is engaged in the quantum computing and networking industry, delivering high-performance systems capable of solving complex commercial and research use cases. Its generation quantum computers, IonQ Forte and IonQ Forte Enterprise, are cutting-edge systems, boasting 36 algorithmic qubits. It sells specialized quantum computing and networking hardware together with related maintenance and support. It also sells access to several quantum computers of various qubit capacities and is in the process of researching and developing technologies for quantum computers with increasing computational capabilities. It makes access to its quantum computers available via three cloud platforms, Amazon Web Services' (AWS) Amazon Braket, Microsoft's Azure Quantum and Google's Cloud Marketplace, and also to select customers via its own cloud service. Its product portfolio also includes quantum key distribution (QKD) systems, quantum random number generators (QRNGs), and single-photon detectors.</v>
    <v>407</v>
    <v>New York Stock Exchange</v>
    <v>XNYS</v>
    <v>XNYS</v>
    <v>4505 Campus Drive, Suite 100, COLLEGE PARK, MD, 20740 US</v>
    <v>47.867800000000003</v>
    <v>Software &amp; IT Services</v>
    <v>Stock</v>
    <v>45800.999899351562</v>
    <v>76</v>
    <v>41.21</v>
    <v>11319670000</v>
    <v>IONQ, INC.</v>
    <v>IONQ, INC.</v>
    <v>41.96</v>
    <v>45.79</v>
    <v>45.69</v>
    <v>45.5</v>
    <v>247749300</v>
    <v>IONQ</v>
    <v>IONQ, INC. (XNYS:IONQ)</v>
    <v>53827271</v>
    <v>19312412</v>
    <v>2020</v>
  </rv>
  <rv s="4">
    <v>77</v>
  </rv>
  <rv s="0">
    <v>https://www.bing.com/financeapi/forcetrigger?t=a24xlh&amp;q=XNYS%3aUNH&amp;form=skydnc</v>
    <v>Learn more on Bing</v>
  </rv>
  <rv s="5">
    <v>en-CA</v>
    <v>a24xlh</v>
    <v>268435456</v>
    <v>1</v>
    <v>Powered by Refinitiv</v>
    <v>7</v>
    <v>UNITEDHEALTH GROUP INCORPORATED (XNYS:UNH)</v>
    <v>8</v>
    <v>9</v>
    <v>Finance</v>
    <v>5</v>
    <v>630.73</v>
    <v>248.88</v>
    <v>0.4945</v>
    <v>-1.1000000000000001</v>
    <v>-2.8079999999999997E-3</v>
    <v>-3.7080000000000004E-3</v>
    <v>-0.83</v>
    <v>USD</v>
    <v>UnitedHealth Group Incorporated is a healthcare company. The Company operates two businesses, Optum and UnitedHealthcare. Optum serves the healthcare marketplace, including patients and consumers, payers, care providers, employers, governments and life sciences companies, through its Optum Health, Optum Insight and Optum Rx businesses. UnitedHealthcare offers a full range of health benefits, simplifying the healthcare experience and providing affordable solutions. The Company’s segments include Optum Health, Optum Insight, Optum Rx and UnitedHealthcare. The UnitedHealthcare segment includes UnitedHealthcare Employer &amp; Individual, which serves consumers and employers; UnitedHealthcare Medicare &amp; Retirement delivers health and well-being benefits to seniors and other Medicare-eligible consumers; and UnitedHealthcare Community &amp; State serves consumers who are economically disadvantaged, the medically underserved and those without the benefit of employer sponsored health benefits coverage.</v>
    <v>400000</v>
    <v>New York Stock Exchange</v>
    <v>XNYS</v>
    <v>XNYS</v>
    <v>1 HEALTH DRIVE, EDEN PRAIRIE, MN, 55344 US</v>
    <v>299.7</v>
    <v>Healthcare Providers &amp; Services</v>
    <v>Stock</v>
    <v>45800.999999907028</v>
    <v>79</v>
    <v>291.64</v>
    <v>268123500000</v>
    <v>UNITEDHEALTH GROUP INCORPORATED</v>
    <v>UNITEDHEALTH GROUP INCORPORATED</v>
    <v>296.10000000000002</v>
    <v>12.4162</v>
    <v>296.67</v>
    <v>295.57</v>
    <v>294.74</v>
    <v>907140400</v>
    <v>UNH</v>
    <v>UNITEDHEALTH GROUP INCORPORATED (XNYS:UNH)</v>
    <v>16873644</v>
    <v>25769688</v>
    <v>2015</v>
  </rv>
  <rv s="4">
    <v>80</v>
  </rv>
  <rv s="0">
    <v>https://www.bing.com/financeapi/forcetrigger?t=a1yeec&amp;q=XNYS%3aNEM&amp;form=skydnc</v>
    <v>Learn more on Bing</v>
  </rv>
  <rv s="5">
    <v>en-CA</v>
    <v>a1yeec</v>
    <v>268435456</v>
    <v>1</v>
    <v>Powered by Refinitiv</v>
    <v>7</v>
    <v>NEWMONT CORPORATION (XNYS:NEM)</v>
    <v>8</v>
    <v>9</v>
    <v>Finance</v>
    <v>5</v>
    <v>58.72</v>
    <v>36.86</v>
    <v>0.33360000000000001</v>
    <v>1</v>
    <v>-7.4560000000000002E-4</v>
    <v>1.8992999999999999E-2</v>
    <v>-0.04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53.8</v>
    <v>Metals &amp; Mining</v>
    <v>Stock</v>
    <v>45800.998968135937</v>
    <v>82</v>
    <v>53.01</v>
    <v>59712290000</v>
    <v>NEWMONT CORPORATION</v>
    <v>NEWMONT CORPORATION</v>
    <v>53.65</v>
    <v>11.9528</v>
    <v>52.65</v>
    <v>53.65</v>
    <v>53.61</v>
    <v>1112997000</v>
    <v>NEM</v>
    <v>NEWMONT CORPORATION (XNYS:NEM)</v>
    <v>10172305</v>
    <v>13153873</v>
    <v>2001</v>
  </rv>
  <rv s="4">
    <v>83</v>
  </rv>
  <rv s="0">
    <v>https://www.bing.com/financeapi/forcetrigger?t=a1my2w&amp;q=XNYS%3aAEM&amp;form=skydnc</v>
    <v>Learn more on Bing</v>
  </rv>
  <rv s="5">
    <v>en-CA</v>
    <v>a1my2w</v>
    <v>268435456</v>
    <v>1</v>
    <v>Powered by Refinitiv</v>
    <v>7</v>
    <v>AGNICO EAGLE MINES LIMITED (XNYS:AEM)</v>
    <v>8</v>
    <v>18</v>
    <v>Finance</v>
    <v>5</v>
    <v>126.755</v>
    <v>63.009</v>
    <v>0.65569999999999995</v>
    <v>3.03</v>
    <v>3.9960000000000004E-3</v>
    <v>2.6442E-2</v>
    <v>0.47</v>
    <v>USD</v>
    <v>Agnico Eagle Mines Limited is a Canada-based and led senior gold mining company engaged in producing precious metals from operations in Canada, Australia, Finland and Mexico, with a pipeline of exploration and development projects. Its operations include Canadian Malartic Complex, Detour Lake, Fosterville, Goldex, Kittila, La India, LaRonde Complex, Macassa, Meadowbank Complex, Meliadine and Pinos Altos. Its exploration sites include Barsele, Delta, Dubuisson, El Barqueno, Hammond Reef, Hope Bay, Jennings, Morelos Sur, North Madsen, Northern Territory, Pandora/Wood-Pandora, and others. The Canadian Malartic complex is located in the town of Malartic, 25 kilometers (km) west of Val-d’Or in northwestern Quebec. The Fosterville mine is a high-grade, low-cost underground gold mine, located 20 km from the city of Bendigo. It also owns a 100% interest in all its properties (128,680 hectares) in Quebec. Its projects also include Marban Alliance, Horizon, Alpha, Launay, Peacock, and others.</v>
    <v>10155</v>
    <v>New York Stock Exchange</v>
    <v>XNYS</v>
    <v>XNYS</v>
    <v>145 King Street East, Suite 400, TORONTO, ON, M5C 2Y7 CA</v>
    <v>118.18</v>
    <v>Metals &amp; Mining</v>
    <v>Stock</v>
    <v>45800.998436689064</v>
    <v>85</v>
    <v>116.41</v>
    <v>80486950000</v>
    <v>AGNICO EAGLE MINES LIMITED</v>
    <v>AGNICO EAGLE MINES LIMITED</v>
    <v>117.22</v>
    <v>24.367000000000001</v>
    <v>114.59</v>
    <v>117.62</v>
    <v>118.09</v>
    <v>502714400</v>
    <v>AEM</v>
    <v>AGNICO EAGLE MINES LIMITED (XNYS:AEM)</v>
    <v>3314006</v>
    <v>4074563</v>
    <v>2024</v>
  </rv>
  <rv s="4">
    <v>86</v>
  </rv>
  <rv s="0">
    <v>https://www.bing.com/financeapi/forcetrigger?t=a21ylh&amp;q=XNAS%3aRGLD&amp;form=skydnc</v>
    <v>Learn more on Bing</v>
  </rv>
  <rv s="5">
    <v>en-CA</v>
    <v>a21ylh</v>
    <v>268435456</v>
    <v>1</v>
    <v>Powered by Refinitiv</v>
    <v>7</v>
    <v>ROYAL GOLD, INC. (XNAS:RGLD)</v>
    <v>8</v>
    <v>9</v>
    <v>Finance</v>
    <v>5</v>
    <v>191.7756</v>
    <v>119.72</v>
    <v>0.46350000000000002</v>
    <v>3.86</v>
    <v>0</v>
    <v>2.1840999999999999E-2</v>
    <v>0</v>
    <v>USD</v>
    <v>Royal Gold, Inc. is a precious metals stream and royalty company engaged in the acquisition and management of precious metal streams, royalties, and similar production-based interests. The Company's segments include Acquisition and Management of Stream Interests, and Acquisition and Management of Royalty Interests. The Acquisition and Management of Stream Interests segment includes a metal stream, which is a purchase agreement that provides the right to purchase all or a portion of one or more metals produced from a mine, at a price determined for the life of the transaction by the purchase agreement. The Acquisition and Management of Royalty Interests segment includes non-operating interests in mining projects that provide the right to revenue or metals produced from the project after deducting specified costs, if any. The Company owns interests in approximately 175 properties on five continents, including interests in 42 producing mines and 18 development stage projects.</v>
    <v>30</v>
    <v>Nasdaq Stock Market</v>
    <v>XNAS</v>
    <v>XNAS</v>
    <v>1144 15th Street, Suite 2500, DENVER, CO, 80202-1161 US</v>
    <v>181.69</v>
    <v>Metals &amp; Mining</v>
    <v>Stock</v>
    <v>45800.955481620309</v>
    <v>88</v>
    <v>176.57</v>
    <v>11885800000</v>
    <v>ROYAL GOLD, INC.</v>
    <v>ROYAL GOLD, INC.</v>
    <v>179.43</v>
    <v>29.187999999999999</v>
    <v>176.73</v>
    <v>180.59</v>
    <v>180.59</v>
    <v>65816500</v>
    <v>RGLD</v>
    <v>ROYAL GOLD, INC. (XNAS:RGLD)</v>
    <v>389221</v>
    <v>549726</v>
    <v>1981</v>
  </rv>
  <rv s="4">
    <v>89</v>
  </rv>
  <rv s="0">
    <v>https://www.bing.com/financeapi/forcetrigger?t=a22fcw&amp;q=XNYS%3aSA&amp;form=skydnc</v>
    <v>Learn more on Bing</v>
  </rv>
  <rv s="6">
    <v>en-CA</v>
    <v>a22fcw</v>
    <v>268435456</v>
    <v>1</v>
    <v>Powered by Refinitiv</v>
    <v>10</v>
    <v>SEABRIDGE GOLD INC. (XNYS:SA)</v>
    <v>8</v>
    <v>19</v>
    <v>Finance</v>
    <v>5</v>
    <v>20.55</v>
    <v>9.4</v>
    <v>0.79090000000000005</v>
    <v>7.0000000000000007E-2</v>
    <v>8.183E-4</v>
    <v>5.7609999999999996E-3</v>
    <v>0.01</v>
    <v>USD</v>
    <v>Seabridge Gold Inc. is engaged in acquiring, exploring, and advancing mineral properties, with an emphasis on gold resources, located in Canada and the United States. The Company holds a 100% interest in several North American gold projects. Its principal assets, the KSM project, and its Iskut project, are located in Northwest British Columbia, Canada's Golden Triangle, the Courageous Lake project located in Canada's Northwest Territories, the Snowstorm project in the Getchell Gold Belt of Northern Nevada and the 3 Aces project set in the Yukon Territory. The KSM Project is an undeveloped gold project. Iskut is a 294 square kilometers property located approximately 20 kilometers (km) east of KSM. 3 Aces is a 314 square kilometer property located in southeastern Yukon. The project is a district-scale, orogenic gold project. Snowstorm is a 103 square kilometer property located at the intersection of three major Nevada gold belts. Grassy Mountain is its non-core asset.</v>
    <v>41</v>
    <v>New York Stock Exchange</v>
    <v>XNYS</v>
    <v>XNYS</v>
    <v>106 Front St E Suite 400, TORONTO, ON, M5A 1E1 CA</v>
    <v>12.36</v>
    <v>Metals &amp; Mining</v>
    <v>Stock</v>
    <v>45800.99090053203</v>
    <v>91</v>
    <v>12.13</v>
    <v>1688119000</v>
    <v>SEABRIDGE GOLD INC.</v>
    <v>SEABRIDGE GOLD INC.</v>
    <v>12.29</v>
    <v>12.15</v>
    <v>12.22</v>
    <v>12.23</v>
    <v>100543100</v>
    <v>SA</v>
    <v>SEABRIDGE GOLD INC. (XNYS:SA)</v>
    <v>542207</v>
    <v>722238</v>
    <v>2002</v>
  </rv>
  <rv s="4">
    <v>92</v>
  </rv>
  <rv s="0">
    <v>https://www.bing.com/financeapi/forcetrigger?t=a1pwhw&amp;q=XNYS%3aCMCL&amp;form=skydnc</v>
    <v>Learn more on Bing</v>
  </rv>
  <rv s="5">
    <v>en-CA</v>
    <v>a1pwhw</v>
    <v>268435456</v>
    <v>1</v>
    <v>Powered by Refinitiv</v>
    <v>7</v>
    <v>CALEDONIA MINING CORPORATION PLC (XNYS:CMCL)</v>
    <v>8</v>
    <v>9</v>
    <v>Finance</v>
    <v>5</v>
    <v>17.899999999999999</v>
    <v>8.8049999999999997</v>
    <v>0.24959999999999999</v>
    <v>0.68</v>
    <v>2.3240000000000001E-3</v>
    <v>4.1137E-2</v>
    <v>0.04</v>
    <v>USD</v>
    <v>Caledonia Mining Corporation Plc is a gold production, exploration and development company focused on Zimbabwe. The Company owns a 64% stake in the gold-producing Blanket Mine (Blanket), 100% stakes in the Bilboes mine and the Motapa and Maligreen gold mining claims, all situated in Zimbabwe. The Blanket Gold Mine is a Zimbabwean gold mine, which operates at a depth of approximately 750 meters below surface and produced approximately 55,000 ounces of gold. Blanket also holds brownfield exploration and development projects both on the existing mine area and on its satellite properties which are within trucking distance of the Blanket metallurgical recovery plant. It also holds the Motapa gold exploration property in Southern Zimbabwe. The Maligreen project is a property situated in the Gweru mining district in the Zimbabwe Midlands. The Bilboes is a large, high grade gold deposit located approximately 75 kilometers (km) north of Bulawayo, Zimbabwe.</v>
    <v>1949</v>
    <v>New York Stock Exchange</v>
    <v>XNYS</v>
    <v>XNYS</v>
    <v>B006 Millais House, Castle Quay, SAINT HELIER, JE2 3EF JE</v>
    <v>17.25</v>
    <v>Metals &amp; Mining</v>
    <v>Stock</v>
    <v>45800.964805185155</v>
    <v>94</v>
    <v>16.36</v>
    <v>332063200</v>
    <v>CALEDONIA MINING CORPORATION PLC</v>
    <v>CALEDONIA MINING CORPORATION PLC</v>
    <v>16.93</v>
    <v>12.9741</v>
    <v>16.53</v>
    <v>17.21</v>
    <v>17.25</v>
    <v>19294780</v>
    <v>CMCL</v>
    <v>CALEDONIA MINING CORPORATION PLC (XNYS:CMCL)</v>
    <v>167367</v>
    <v>149279</v>
    <v>2016</v>
  </rv>
  <rv s="4">
    <v>95</v>
  </rv>
  <rv s="0">
    <v>https://www.bing.com/financeapi/forcetrigger?t=a251dm&amp;q=XNAS%3aUSAU&amp;form=skydnc</v>
    <v>Learn more on Bing</v>
  </rv>
  <rv s="5">
    <v>en-CA</v>
    <v>a251dm</v>
    <v>268435456</v>
    <v>1</v>
    <v>Powered by Refinitiv</v>
    <v>7</v>
    <v>U.S. GOLD CORP (XNAS:USAU)</v>
    <v>8</v>
    <v>9</v>
    <v>Finance</v>
    <v>5</v>
    <v>12</v>
    <v>4.71</v>
    <v>1.3189</v>
    <v>0.34</v>
    <v>-1.5769999999999999E-2</v>
    <v>3.2566999999999999E-2</v>
    <v>-0.17</v>
    <v>USD</v>
    <v>U.S. Gold Corp. is a gold and precious metals exploration company, which is engaged in the exploration and development of properties. The Company owns certain mining leases and other mineral rights comprising the CK Gold Project in Wyoming, the Keystone Project in Nevada and the Challis Gold Project in Idaho. The CK Gold Project deposit is a development-stage, large-tonnage, gold-copper deposit with high-grade mineralization exposed at the surface surrounded by a large, low-grade zone with potential for expanding resources. The CK Gold Project property comprises about 1,120 acres and is 100% owned by the Company. The Project is located about 75 kilometers (kms) southwest (SW) of Salmon, ID and 20 kms SW of Revival Gold's Beartrack Project, within the Tertiary Challis Volcanic Field. The Keystone project is a Carlin-type gold deposit exploration project located on Nevada's Cortez Trend, one of the most prolific gold mining trends and home to some of North America's largest mines.</v>
    <v>4</v>
    <v>Nasdaq Stock Market</v>
    <v>XNAS</v>
    <v>XNAS</v>
    <v>PO Box 604, 1910 E Idaho Street, Suite 102, ELKO, NV, 89801 US</v>
    <v>10.92</v>
    <v>Metals &amp; Mining</v>
    <v>Stock</v>
    <v>45800.985008321091</v>
    <v>97</v>
    <v>10.48</v>
    <v>136828200</v>
    <v>U.S. GOLD CORP</v>
    <v>U.S. GOLD CORP</v>
    <v>10.72</v>
    <v>0</v>
    <v>10.44</v>
    <v>10.78</v>
    <v>10.61</v>
    <v>12692780</v>
    <v>USAU</v>
    <v>U.S. GOLD CORP (XNAS:USAU)</v>
    <v>229118</v>
    <v>366444</v>
    <v>2015</v>
  </rv>
  <rv s="4">
    <v>98</v>
  </rv>
  <rv s="0">
    <v>https://www.bing.com/financeapi/forcetrigger?t=aayim7&amp;q=XTSE%3aH&amp;form=skydnc</v>
    <v>Learn more on Bing</v>
  </rv>
  <rv s="5">
    <v>en-CA</v>
    <v>aayim7</v>
    <v>268435456</v>
    <v>1</v>
    <v>Powered by Refinitiv</v>
    <v>7</v>
    <v>Hydro One Limited (XTSE:H)</v>
    <v>8</v>
    <v>20</v>
    <v>Finance</v>
    <v>21</v>
    <v>53.98</v>
    <v>38.24</v>
    <v>0.33310000000000001</v>
    <v>0.05</v>
    <v>0</v>
    <v>9.8850000000000001E-4</v>
    <v>0</v>
    <v>CAD</v>
    <v>Hydro One Limited, through its wholly owned subsidiaries, is an electricity transmission and distribution provider in Ontario. The Company’s segments include Transmission, Distribution and Other segment. The Transmission Segment comprises the transmission of high voltage electricity across the province, interconnecting local distribution companies and certain large directly connected industrial customers throughout the Ontario electricity grid. The Distribution Segment comprises the delivery of electricity to end customers and certain other municipal electricity distributors. Other Segment includes certain corporate activities, investments including a joint venture that owns and operates electric vehicle fast charging stations across Ontario under the Ivy Charging Network brand, and the operations of the Company’s telecommunications business. The Company’s subsidiaries include Hydro One Inc., Hydro One Networks Inc., and Hydro One Sault Ste. Marie LP.</v>
    <v>7300</v>
    <v>Toronto Stock Exchange</v>
    <v>XTSE</v>
    <v>XTSE</v>
    <v>483 Bay Street, 8Th Floor, South Tower, TORONTO, ON, M5G 2P5 CA</v>
    <v>51.09</v>
    <v>Electrical Utilities &amp; IPPs</v>
    <v>Stock</v>
    <v>45803.865335648145</v>
    <v>100</v>
    <v>50.26</v>
    <v>30366593061</v>
    <v>Hydro One Limited</v>
    <v>Hydro One Limited</v>
    <v>50.81</v>
    <v>24.882899999999999</v>
    <v>50.58</v>
    <v>50.63</v>
    <v>50.63</v>
    <v>599774700</v>
    <v>H</v>
    <v>Hydro One Limited (XTSE:H)</v>
    <v>293958</v>
    <v>1000440</v>
    <v>2015</v>
  </rv>
  <rv s="4">
    <v>101</v>
  </rv>
  <rv s="0">
    <v>https://www.bing.com/financeapi/forcetrigger?t=a25hm7&amp;q=ARCX%3aVOO&amp;form=skydnc</v>
    <v>Learn more on Bing</v>
  </rv>
  <rv s="10">
    <v>en-CA</v>
    <v>a25hm7</v>
    <v>268435456</v>
    <v>1</v>
    <v>Powered by Refinitiv</v>
    <v>22</v>
    <v>Vanguard 500 Idx;ETF (ARCX:VOO)</v>
    <v>13</v>
    <v>23</v>
    <v>Finance</v>
    <v>24</v>
    <v>563.91999999999996</v>
    <v>442.8</v>
    <v>1.0002</v>
    <v>-3.62</v>
    <v>-5.6349999999999998E-4</v>
    <v>-6.7530000000000003E-3</v>
    <v>-0.3</v>
    <v>USD</v>
    <v>NYSE Arca</v>
    <v>ARCX</v>
    <v>2.9999999999999997E-4</v>
    <v>534.80989999999997</v>
    <v>ETF</v>
    <v>45800.999991712502</v>
    <v>103</v>
    <v>529.11</v>
    <v>607983902309</v>
    <v>Vanguard 500 Idx;ETF</v>
    <v>529.42999999999995</v>
    <v>536.02</v>
    <v>532.4</v>
    <v>532.1</v>
    <v>VOO</v>
    <v>Vanguard 500 Idx;ETF (ARCX:VOO)</v>
    <v>6455875</v>
    <v>6325780</v>
  </rv>
  <rv s="4">
    <v>104</v>
  </rv>
  <rv s="11">
    <v>en-CA</v>
    <v>cbtdpr</v>
    <v>268435456</v>
    <v>1</v>
    <v>Powered by Refinitiv</v>
    <v>25</v>
    <v>QUESTCORP MINING INC. (XCNQ:QQQ)</v>
    <v>26</v>
    <v>27</v>
    <v>Finance</v>
    <v>28</v>
    <v>0.26500000000000001</v>
    <v>0.04</v>
    <v>5.0000000000000001E-3</v>
    <v>2.7027000000000002E-2</v>
    <v>CAD</v>
    <v>Questcorp Mining Inc. is engaged in the business of the acquisition and exploration of mineral properties in Canada. The Company holds an option to acquire an undivided 100% interest in and to mineral claims totaling about 1,168.09 hectares comprising the North Island Copper Property, on Vancouver Island, British Columbia, subject to a royalty obligation. The Company's secondary objective is to locate and develop economic precious and base metal properties of merit. North Island Copper Property has two main targets: auriferous base metal skarns associated with Quatsino limestones in the east and porphyry copper mineralization associated with the Island Intrusions in the west. The Company is focusing on the Marisa porphyry target in the west.</v>
    <v>Canadian National Stock Exchange</v>
    <v>XCNQ</v>
    <v>XCNQ</v>
    <v>Suite 250, 750 West Pender Street, VANCOUVER, BC, V6C 2T7 CA</v>
    <v>0.2</v>
    <v>Metals &amp; Mining</v>
    <v>Stock</v>
    <v>45803.589521075781</v>
    <v>0.19</v>
    <v>11646150</v>
    <v>QUESTCORP MINING INC.</v>
    <v>QUESTCORP MINING INC.</v>
    <v>0.19</v>
    <v>0.185</v>
    <v>0.19</v>
    <v>62952140</v>
    <v>QQQ</v>
    <v>QUESTCORP MINING INC. (XCNQ:QQQ)</v>
    <v>18533</v>
    <v>174940</v>
    <v>2021</v>
  </rv>
  <rv s="4">
    <v>106</v>
  </rv>
  <rv s="12">
    <v>en-CA</v>
    <v>cbgkmw</v>
    <v>268435456</v>
    <v>1</v>
    <v>Powered by Refinitiv</v>
    <v>29</v>
    <v>COSTCO WHOLESALE CORPORATION (XMIL:1COST)</v>
    <v>26</v>
    <v>30</v>
    <v>Finance</v>
    <v>31</v>
    <v>1080</v>
    <v>729.3</v>
    <v>0.97</v>
    <v>-9.9</v>
    <v>-1.0822E-2</v>
    <v>EUR</v>
    <v>Costco Wholesale Corporation (Costco) operates membership warehouses and e-commerce sites that offer a selection of nationally branded and private-label products in a wide range of categories. The Company buys the majority of its merchandise directly from suppliers and route it to cross-docking consolidation points (depots) or directly to its warehouses. It operates 891 warehouses, including 614 in the United States and Puerto Rico, 108 in Canada, 40 in Mexico, 35 in Japan, 29 in the United Kingdom, 19 in Korea, 15 in Australia, 14 in Taiwan, seven in China, five in Spain, two in France, and one each in Iceland, New Zealand and Sweden. It also operates e-commerce sites in the United States, Canada, the United Kingdom, Mexico, Korea, Taiwan, Japan and Australia. The Company provides wide selection of merchandise, plus the convenience of specialty departments and exclusive member services.</v>
    <v>333000</v>
    <v>Borsa Italiana</v>
    <v>XMIL</v>
    <v>XMIL</v>
    <v>999 Lake Dr, ISSAQUAH, WA, 98027- US</v>
    <v>904.9</v>
    <v>Diversified Retail</v>
    <v>Stock</v>
    <v>45799.666666666664</v>
    <v>904.9</v>
    <v>454908500000</v>
    <v>COSTCO WHOLESALE CORPORATION</v>
    <v>COSTCO WHOLESALE CORPORATION</v>
    <v>904.9</v>
    <v>54.580399999999997</v>
    <v>914.8</v>
    <v>904.9</v>
    <v>443683300</v>
    <v>1COST</v>
    <v>COSTCO WHOLESALE CORPORATION (XMIL:1COST)</v>
    <v>1</v>
    <v>2037020</v>
    <v>1987</v>
  </rv>
  <rv s="4">
    <v>108</v>
  </rv>
  <rv s="0">
    <v>https://www.bing.com/financeapi/forcetrigger?t=a1mpqh&amp;q=XNYS%3aABBV&amp;form=skydnc</v>
    <v>Learn more on Bing</v>
  </rv>
  <rv s="5">
    <v>en-CA</v>
    <v>a1mpqh</v>
    <v>268435456</v>
    <v>1</v>
    <v>Powered by Refinitiv</v>
    <v>7</v>
    <v>ABBVIE INC. (XNYS:ABBV)</v>
    <v>8</v>
    <v>9</v>
    <v>Finance</v>
    <v>5</v>
    <v>218.66</v>
    <v>153.58000000000001</v>
    <v>0.50460000000000005</v>
    <v>0.72</v>
    <v>-5.4570000000000001E-5</v>
    <v>3.9439999999999996E-3</v>
    <v>-0.01</v>
    <v>USD</v>
    <v>AbbVie Inc. is a global, diversified research-based biopharmaceutical company. The Company is engaged in research and development, manufacturing, commercialization and sale of medicines and therapies. Its product portfolio includes Immunology, Oncology, Aesthetics, Neuroscience, Eye Care and Other Key Products. Its Immunology products include rheumatology, dermatology and gastroenterology. Its Oncology products include Imbruvica, Venclexta/Venclyxto, Elahere, and Epkinly. The Company’s Aesthetics portfolio consists of facial injectables, plastics and regenerative medicine, body contouring, and skincare products. Its Neuroscience products include Botox Therapeutic, Vraylar, Duopa and Duodopa, Ubrelvy, and Qulipta. Its Eye Care products include Ozurdex, Lumigan/Ganfort, Alphagan/Combigan, Restasis, and Other eye care. Its Other key products include Mavyret/Maviret, Creon, and Linzess/Constella. Its Venclexta is a B-cell lymphoma 2 (BCL-2) inhibitor used to treat blood cancers.</v>
    <v>55000</v>
    <v>New York Stock Exchange</v>
    <v>XNYS</v>
    <v>XNYS</v>
    <v>1 N Waukegan Rd, NORTH CHICAGO, IL, 60064 US</v>
    <v>184.11500000000001</v>
    <v>Pharmaceuticals</v>
    <v>Stock</v>
    <v>45800.998752626561</v>
    <v>110</v>
    <v>181.715</v>
    <v>323711000000</v>
    <v>ABBVIE INC.</v>
    <v>ABBVIE INC.</v>
    <v>182.37</v>
    <v>77.8352</v>
    <v>182.54</v>
    <v>183.26</v>
    <v>183.25</v>
    <v>1766403000</v>
    <v>ABBV</v>
    <v>ABBVIE INC. (XNYS:ABBV)</v>
    <v>4027044</v>
    <v>7795679</v>
    <v>2012</v>
  </rv>
  <rv s="4">
    <v>111</v>
  </rv>
  <rv s="0">
    <v>https://www.bing.com/financeapi/forcetrigger?t=c1uvkr&amp;q=XNAS%3aRGTI&amp;form=skydnc</v>
    <v>Learn more on Bing</v>
  </rv>
  <rv s="5">
    <v>en-CA</v>
    <v>c1uvkr</v>
    <v>268435456</v>
    <v>1</v>
    <v>Powered by Refinitiv</v>
    <v>7</v>
    <v>RIGETTI COMPUTING, INC (XNAS:RGTI)</v>
    <v>8</v>
    <v>9</v>
    <v>Finance</v>
    <v>5</v>
    <v>21.42</v>
    <v>0.66</v>
    <v>1.5569</v>
    <v>0.16</v>
    <v>-3.5659999999999997E-3</v>
    <v>1.1544E-2</v>
    <v>-0.05</v>
    <v>USD</v>
    <v>Rigetti Computing, Inc. is a full-stack quantum computing company. The Company operates quantum computers over the cloud and serves global enterprise, government, and research clients through its Rigetti Quantum Cloud Services platform. The Company’s quantum-classical infrastructure provides high-performance integration with public and private clouds for practical quantum computing. It has developed a multi-chip quantum processor for scalable quantum computing systems. Through the Company’s Quantum Computing as a Service (QCaaS) platform, its machines can be integrated into any public, private or hybrid cloud. It is also engaged in the sale of quantum processing units (QPUs) and custom computing components, and development contracts and other services. Its QPUs contain fabricated silicon-based chips featuring superconducting qubits. The Company designs and manufactures its chips in-house at Fab-1, an integrated quantum device manufacturing facility.</v>
    <v>137</v>
    <v>Nasdaq Stock Market</v>
    <v>XNAS</v>
    <v>XNAS</v>
    <v>775 Heinz Avenue, BERKELEY, CA, 94710 US</v>
    <v>14.69</v>
    <v>Semiconductors &amp; Semiconductor Equipment</v>
    <v>Stock</v>
    <v>45800.999945948439</v>
    <v>113</v>
    <v>12.77</v>
    <v>4070327000</v>
    <v>RIGETTI COMPUTING, INC</v>
    <v>RIGETTI COMPUTING, INC</v>
    <v>13.04</v>
    <v>0</v>
    <v>13.86</v>
    <v>14.02</v>
    <v>13.97</v>
    <v>290322900</v>
    <v>RGTI</v>
    <v>RIGETTI COMPUTING, INC (XNAS:RGTI)</v>
    <v>107968820</v>
    <v>51297261</v>
    <v>2022</v>
  </rv>
  <rv s="4">
    <v>114</v>
  </rv>
  <rv s="0">
    <v>https://www.bing.com/financeapi/forcetrigger?t=bgr8c7&amp;q=XNAS%3aQUBT&amp;form=skydnc</v>
    <v>Learn more on Bing</v>
  </rv>
  <rv s="5">
    <v>en-CA</v>
    <v>bgr8c7</v>
    <v>268435456</v>
    <v>1</v>
    <v>Powered by Refinitiv</v>
    <v>7</v>
    <v>QUANTUM COMPUTING INC. (XNAS:QUBT)</v>
    <v>8</v>
    <v>9</v>
    <v>Finance</v>
    <v>5</v>
    <v>27.15</v>
    <v>0.35489999999999999</v>
    <v>3.8896999999999999</v>
    <v>1.24</v>
    <v>-1.503E-3</v>
    <v>0.10273400000000001</v>
    <v>-0.02</v>
    <v>USD</v>
    <v>Quantum Computing Inc. is an integrated quantum optics and nanophotonic technology company. The Company is utilizing integrated photonics and non-linear quantum optics to develop and deliver machines for quantum computing, reservoir computing, and remote sensing, imaging and cybersecurity applications. Its products are designed to operate at room temperature and low power. Its Entropy Quantum Computer is a full-stack system, incorporating the Company’s custom user interface software Qatalyst, which allows users to avoid the complexity of software development kits at the circuit level and has evolved from the Company’s primary Software as a Service offering to the software that powers its offerings. Its Reservoir Computer is a device that uses an integrated circuit that can be reprogrammed after manufacturing and optimized for recurrent neural network applications. Its Quantum Photonic Vibrometer is a proprietary, instrument for remote vibration detection, sensing, and inspection.</v>
    <v>41</v>
    <v>Nasdaq Stock Market</v>
    <v>XNAS</v>
    <v>XNAS</v>
    <v>5 MARINE VIEW PLZ, SUITE 214, HOBOKEN, NJ, 07030 US</v>
    <v>14.3</v>
    <v>Software &amp; IT Services</v>
    <v>Stock</v>
    <v>45800.999993830468</v>
    <v>116</v>
    <v>11.28</v>
    <v>1875426000</v>
    <v>QUANTUM COMPUTING INC.</v>
    <v>QUANTUM COMPUTING INC.</v>
    <v>11.33</v>
    <v>0</v>
    <v>12.07</v>
    <v>13.31</v>
    <v>13.29</v>
    <v>140903500</v>
    <v>QUBT</v>
    <v>QUANTUM COMPUTING INC. (XNAS:QUBT)</v>
    <v>88710866</v>
    <v>19257925</v>
    <v>2018</v>
  </rv>
  <rv s="4">
    <v>117</v>
  </rv>
  <rv s="0">
    <v>http://en.wikipedia.org/wiki/IBM</v>
    <v>Wikipedia</v>
  </rv>
  <rv s="1">
    <v>0</v>
    <v>119</v>
  </rv>
  <rv s="2">
    <v>6</v>
    <v>https://www.bing.com/th?id=AMMS_41da901be1b295dc42c72dadb9c0f67d&amp;qlt=95</v>
    <v>120</v>
    <v>0</v>
    <v>https://www.bing.com/images/search?form=xlimg&amp;q=ibm</v>
    <v>Image of INTERNATIONAL BUSINESS MACHINES CORPORATION</v>
  </rv>
  <rv s="0">
    <v>https://www.bing.com/financeapi/forcetrigger?t=a1v6nm&amp;q=XNYS%3aIBM&amp;form=skydnc</v>
    <v>Learn more on Bing</v>
  </rv>
  <rv s="3">
    <v>en-CA</v>
    <v>a1v6nm</v>
    <v>268435456</v>
    <v>1</v>
    <v>Powered by Refinitiv</v>
    <v>0</v>
    <v>INTERNATIONAL BUSINESS MACHINES CORPORATION (XNYS:IBM)</v>
    <v>3</v>
    <v>4</v>
    <v>Finance</v>
    <v>5</v>
    <v>269.27999999999997</v>
    <v>163.53</v>
    <v>0.64119999999999999</v>
    <v>0.26</v>
    <v>-2.3969999999999998E-3</v>
    <v>1.0059999999999999E-3</v>
    <v>-0.62</v>
    <v>USD</v>
    <v>International Business Machines Corporation is a provider of global hybrid cloud and artificial intelligence (AI) and consulting expertise. The Company’s segments include Software, Consulting, Infrastructure and Financing. The Software segment includes hybrid cloud and AI platforms, which allow clients to realize their digital and AI transformations across the applications, data, and environments in which they operate. The Consulting segment focuses on integrating skills on strategy, experience, technology and operations by domain and industry. The Infrastructure segment is focused on the hybrid cloud infrastructure market, providing on-premises and cloud-based server and storage solutions. In addition, it offers a portfolio of life-cycle services for hybrid cloud infrastructure deployment. The Financing segment provides client and commercial financing, facilitating its clients’ acquisition of hardware, software and services. It helps clients in more than 175 countries.</v>
    <v>293400</v>
    <v>New York Stock Exchange</v>
    <v>XNYS</v>
    <v>XNYS</v>
    <v>One New Orchard Road, ARMONK, NY, 10504 US</v>
    <v>259.86959999999999</v>
    <v>121</v>
    <v>Software &amp; IT Services</v>
    <v>Stock</v>
    <v>45800.999699154687</v>
    <v>122</v>
    <v>255.79</v>
    <v>240369800000</v>
    <v>INTERNATIONAL BUSINESS MACHINES CORPORATION</v>
    <v>INTERNATIONAL BUSINESS MACHINES CORPORATION</v>
    <v>258.58</v>
    <v>44.1997</v>
    <v>258.37</v>
    <v>258.63</v>
    <v>258.01</v>
    <v>929396500</v>
    <v>IBM</v>
    <v>INTERNATIONAL BUSINESS MACHINES CORPORATION (XNYS:IBM)</v>
    <v>2722721</v>
    <v>4558028</v>
    <v>1911</v>
  </rv>
  <rv s="4">
    <v>123</v>
  </rv>
  <rv s="0">
    <v>https://www.bing.com/financeapi/forcetrigger?t=a256cw&amp;q=XNYS%3aV&amp;form=skydnc</v>
    <v>Learn more on Bing</v>
  </rv>
  <rv s="5">
    <v>en-CA</v>
    <v>a256cw</v>
    <v>268435456</v>
    <v>1</v>
    <v>Powered by Refinitiv</v>
    <v>7</v>
    <v>VISA INC. (XNYS:V)</v>
    <v>8</v>
    <v>9</v>
    <v>Finance</v>
    <v>5</v>
    <v>369.1499</v>
    <v>252.7</v>
    <v>0.93840000000000001</v>
    <v>-4.43</v>
    <v>1.6969999999999998E-4</v>
    <v>-1.2375000000000001E-2</v>
    <v>0.06</v>
    <v>USD</v>
    <v>Visa Inc. is a global payments technology company. It facilitates global commerce and money movement across more than 200 countries and territories among a global set of consumers, merchants, financial institutions and government entities through technologies. It operates through the Payment Services segment. It provides transaction processing services (primarily authorization, clearing and settlement) to its financial institution and merchant clients through VisaNet, its proprietary advanced transaction processing network. It offers a range of Visa-branded payment products that its clients, including nearly 14,500 financial institutions, use to develop and offer payment solutions or services, including credit, debit, prepaid and cash access programs for individual, business and government account holders. It also provides value-added services to its clients, including issuing solutions, acceptance solutions, risk and identity solutions, open banking solutions and advisory services.</v>
    <v>31600</v>
    <v>New York Stock Exchange</v>
    <v>XNYS</v>
    <v>XNYS</v>
    <v>P.O. Box 8999, SAN FRANCISCO, CA, 94128-8999 US</v>
    <v>356</v>
    <v>Software &amp; IT Services</v>
    <v>Stock</v>
    <v>45800.995031990627</v>
    <v>125</v>
    <v>352.22</v>
    <v>685570400000</v>
    <v>VISA INC.</v>
    <v>VISA INC.</v>
    <v>353.745</v>
    <v>35.954000000000001</v>
    <v>357.97</v>
    <v>353.54</v>
    <v>353.6</v>
    <v>1939159000</v>
    <v>V</v>
    <v>VISA INC. (XNYS:V)</v>
    <v>5346050</v>
    <v>5759647</v>
    <v>2007</v>
  </rv>
  <rv s="4">
    <v>126</v>
  </rv>
  <rv s="0">
    <v>https://www.bing.com/financeapi/forcetrigger?t=a1x8w7&amp;q=XNYS%3aMA&amp;form=skydnc</v>
    <v>Learn more on Bing</v>
  </rv>
  <rv s="5">
    <v>en-CA</v>
    <v>a1x8w7</v>
    <v>268435456</v>
    <v>1</v>
    <v>Powered by Refinitiv</v>
    <v>7</v>
    <v>MASTERCARD INCORPORATED. (XNYS:MA)</v>
    <v>8</v>
    <v>9</v>
    <v>Finance</v>
    <v>5</v>
    <v>588.45000000000005</v>
    <v>428.86</v>
    <v>1.0452999999999999</v>
    <v>-6.56</v>
    <v>0</v>
    <v>-1.1506000000000001E-2</v>
    <v>0</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567.54999999999995</v>
    <v>Software &amp; IT Services</v>
    <v>Stock</v>
    <v>45800.98212164297</v>
    <v>128</v>
    <v>562.51</v>
    <v>511757500000</v>
    <v>MASTERCARD INCORPORATED.</v>
    <v>MASTERCARD INCORPORATED.</v>
    <v>564.49</v>
    <v>39.981900000000003</v>
    <v>570.14</v>
    <v>563.58000000000004</v>
    <v>563.58000000000004</v>
    <v>908047600</v>
    <v>MA</v>
    <v>MASTERCARD INCORPORATED. (XNYS:MA)</v>
    <v>1948806</v>
    <v>2397708</v>
    <v>2001</v>
  </rv>
  <rv s="4">
    <v>129</v>
  </rv>
  <rv s="0">
    <v>https://www.bing.com/financeapi/forcetrigger?t=az8ybh&amp;q=XNYS%3aDXF&amp;form=skydnc</v>
    <v>Learn more on Bing</v>
  </rv>
  <rv s="6">
    <v>en-CA</v>
    <v>az8ybh</v>
    <v>268435456</v>
    <v>1</v>
    <v>Powered by Refinitiv</v>
    <v>10</v>
    <v>EASON TECHNOLOGY LIMITED (XNYS:DXF)</v>
    <v>8</v>
    <v>11</v>
    <v>Finance</v>
    <v>5</v>
    <v>48.26</v>
    <v>0.13750000000000001</v>
    <v>3.2189999999999999</v>
    <v>-0.45</v>
    <v>-4.9634999999999999E-2</v>
    <v>-6.1643999999999997E-2</v>
    <v>-0.34</v>
    <v>USD</v>
    <v>Eason Technology Ltd, formerly Dunxin Financial Holdings Ltd, is an investment holding company primarily engaged in the real estate operation management and investment business as well as digital security technology business. The real estate operation management and investment business mainly engages in providing comprehensive management consulting services to property owners and businesses as well as providing entrusted management services. The digital security technology business mainly engages in providing digital security solutions to enterprises (To B) to help protect their critical data and information assets as well as providing digital security hardware products to consumers (To C).</v>
    <v>10</v>
    <v>New York Stock Exchange</v>
    <v>XNYS</v>
    <v>XNYS</v>
    <v>27th Floor, Lianfa International Building, 128 Xudong Road, Wuchang District, WUHAN, HUBEI, 430063 CN</v>
    <v>6.85</v>
    <v>Banking Services</v>
    <v>Stock</v>
    <v>45800.999110566408</v>
    <v>131</v>
    <v>5.7</v>
    <v>1598890</v>
    <v>EASON TECHNOLOGY LIMITED</v>
    <v>EASON TECHNOLOGY LIMITED</v>
    <v>6.56</v>
    <v>7.3</v>
    <v>6.85</v>
    <v>6.51</v>
    <v>1870</v>
    <v>DXF</v>
    <v>EASON TECHNOLOGY LIMITED (XNYS:DXF)</v>
    <v>130718</v>
    <v>464803</v>
    <v>2010</v>
  </rv>
  <rv s="4">
    <v>132</v>
  </rv>
  <rv s="0">
    <v>https://www.bing.com/financeapi/forcetrigger?t=a242f2&amp;q=XNYS%3aTD&amp;form=skydnc</v>
    <v>Learn more on Bing</v>
  </rv>
  <rv s="5">
    <v>en-CA</v>
    <v>a242f2</v>
    <v>268435456</v>
    <v>1</v>
    <v>Powered by Refinitiv</v>
    <v>7</v>
    <v>THE TORONTO-DOMINION BANK (XNYS:TD)</v>
    <v>8</v>
    <v>18</v>
    <v>Finance</v>
    <v>5</v>
    <v>68.05</v>
    <v>51.25</v>
    <v>0.98660000000000003</v>
    <v>0.75</v>
    <v>5.1700000000000001E-3</v>
    <v>1.1202E-2</v>
    <v>0.35</v>
    <v>USD</v>
    <v>The Toronto-Dominion Bank (the Bank) operates as a bank in North America. The Bank's segments include Canadian Personal and Commercial Banking, which provides financial products and services to personal, small business and commercial customers, and includes TD Auto Finance Canada; U.S. Retail segment, which is comprised of personal and business banking in the United States, operating under the brand TD Bank; Wealth Management and Insurance segment includes the Canadian wealth business which provides investment products and services to institutional and retail investors, and the insurance business which provides property and casualty insurance, as well as life and health insurance products to customers across Canada, and Wholesale Banking segment provides a range of capital markets, investment banking, and corporate banking products and services, including underwriting and distribution of new debt and equity issues, providing advice on strategic acquisitions and divestitures.</v>
    <v>103257</v>
    <v>New York Stock Exchange</v>
    <v>XNYS</v>
    <v>XNYS</v>
    <v>Toronto-Dominion Centre,, King Street West and Bay Street,, TORONTO, ON, M5K 1A2 CA</v>
    <v>68.05</v>
    <v>Banking Services</v>
    <v>Stock</v>
    <v>45800.997989421092</v>
    <v>134</v>
    <v>66.53</v>
    <v>159905400000</v>
    <v>THE TORONTO-DOMINION BANK</v>
    <v>THE TORONTO-DOMINION BANK</v>
    <v>67.010000000000005</v>
    <v>9.5749999999999993</v>
    <v>66.95</v>
    <v>67.7</v>
    <v>68.05</v>
    <v>1735863000</v>
    <v>TD</v>
    <v>THE TORONTO-DOMINION BANK (XNYS:TD)</v>
    <v>2348014</v>
    <v>1858744</v>
    <v>1995</v>
  </rv>
  <rv s="4">
    <v>135</v>
  </rv>
  <rv s="0">
    <v>https://www.bing.com/financeapi/forcetrigger?t=a1q77w&amp;q=XNYS%3aCP&amp;form=skydnc</v>
    <v>Learn more on Bing</v>
  </rv>
  <rv s="5">
    <v>en-CA</v>
    <v>a1q77w</v>
    <v>268435456</v>
    <v>1</v>
    <v>Powered by Refinitiv</v>
    <v>7</v>
    <v>Canadian Pacific Kansas City Limited (XNYS:CP)</v>
    <v>8</v>
    <v>18</v>
    <v>Finance</v>
    <v>5</v>
    <v>87.72</v>
    <v>66.489999999999995</v>
    <v>1.0572999999999999</v>
    <v>-0.23</v>
    <v>-2.1199999999999999E-3</v>
    <v>-2.8610000000000003E-3</v>
    <v>-0.17</v>
    <v>USD</v>
    <v>Canadian Pacific Kansas City Limited operates a single-line transnational railway linking Canada, the United States and Mexico, with unrivaled access to ports from Vancouver to Atlantic Canada to the Gulf of Mexico to Lazaro Cardenas, Mexico. It operates over 20,000 route miles and provides North American customers unparalleled rail service and network reach to key markets across the continent. It transports bulk commodities, merchandise, and intermodal freight. It offers a suite of freight transportation services, logistics solutions and supply chain expertise. It transports ethanol from production areas in the Midwest United States to key consumer markets across the Northeast United States. It serves various markets, including Canadian grain; United States grain; bulk; intermodal; automotive; forest and industrial products; transload, and energy, chemicals and plastics. Its network connects assembly and auto parts plants and distribution centers to serve the automotive industry.</v>
    <v>19749</v>
    <v>New York Stock Exchange</v>
    <v>XNYS</v>
    <v>XNYS</v>
    <v>7550 OGDEN DALE ROAD S.E., CALGARY, AB, T2C 4X9 CA</v>
    <v>80.84</v>
    <v>Freight &amp; Logistics Services</v>
    <v>Stock</v>
    <v>45800.97084778906</v>
    <v>137</v>
    <v>79.47</v>
    <v>102331600000</v>
    <v>Canadian Pacific Kansas City Limited</v>
    <v>Canadian Pacific Kansas City Limited</v>
    <v>79.47</v>
    <v>28.054600000000001</v>
    <v>80.400000000000006</v>
    <v>80.17</v>
    <v>80</v>
    <v>930456100</v>
    <v>CP</v>
    <v>Canadian Pacific Kansas City Limited (XNYS:CP)</v>
    <v>2040246</v>
    <v>3358068</v>
    <v>2001</v>
  </rv>
  <rv s="4">
    <v>138</v>
  </rv>
  <rv s="0">
    <v>https://www.bing.com/financeapi/forcetrigger?t=a1o4ec&amp;q=XNYS%3aBA&amp;form=skydnc</v>
    <v>Learn more on Bing</v>
  </rv>
  <rv s="6">
    <v>en-CA</v>
    <v>a1o4ec</v>
    <v>268435456</v>
    <v>1</v>
    <v>Powered by Refinitiv</v>
    <v>10</v>
    <v>THE BOEING COMPANY (XNYS:BA)</v>
    <v>8</v>
    <v>11</v>
    <v>Finance</v>
    <v>5</v>
    <v>209.66</v>
    <v>128.8801</v>
    <v>1.4228000000000001</v>
    <v>-1.05</v>
    <v>4.4479999999999997E-4</v>
    <v>-5.1619999999999999E-3</v>
    <v>0.09</v>
    <v>USD</v>
    <v>The Boeing Company is an aerospace company. Its segments include Commercial Airplanes (BCA), Defense, Space &amp; Security (BDS), and Global Services (BGS). Its BCA segment develops, produces and markets commercial jet aircraft principally for the commercial airline industry worldwide. Its family of commercial jet aircraft in production includes the 737 narrow-body model and the 767, 777 and 787 wide-body models. Its BDS segment is engaged in the research, development, production and modification of manned and unmanned military aircraft and weapons systems for strike, surveillance and mobility. Its BGS segment provides services to its commercial and defense customers worldwide. It sustains aerospace platforms and systems with a range of products and services, including supply chain and logistics management, engineering, maintenance and modifications, upgrades and conversions, spare parts, pilot and maintenance training systems and services, technical and maintenance documents, and others.</v>
    <v>172000</v>
    <v>New York Stock Exchange</v>
    <v>XNYS</v>
    <v>XNYS</v>
    <v>929 Long Bridge Drive, ARLINGTON, VA, 22202 US</v>
    <v>203.2</v>
    <v>Aerospace &amp; Defense</v>
    <v>Stock</v>
    <v>45800.999918923437</v>
    <v>140</v>
    <v>198.75</v>
    <v>152580500000</v>
    <v>THE BOEING COMPANY</v>
    <v>THE BOEING COMPANY</v>
    <v>199.95</v>
    <v>203.41</v>
    <v>202.36</v>
    <v>202.45</v>
    <v>754005500</v>
    <v>BA</v>
    <v>THE BOEING COMPANY (XNYS:BA)</v>
    <v>5255185</v>
    <v>8659960</v>
    <v>1934</v>
  </rv>
  <rv s="4">
    <v>141</v>
  </rv>
  <rv s="0">
    <v>https://www.bing.com/financeapi/forcetrigger?t=a1wzw7&amp;q=XNYS%3aLMT&amp;form=skydnc</v>
    <v>Learn more on Bing</v>
  </rv>
  <rv s="5">
    <v>en-CA</v>
    <v>a1wzw7</v>
    <v>268435456</v>
    <v>1</v>
    <v>Powered by Refinitiv</v>
    <v>7</v>
    <v>LOCKHEED MARTIN CORPORATION (XNYS:LMT)</v>
    <v>8</v>
    <v>9</v>
    <v>Finance</v>
    <v>5</v>
    <v>618.95000000000005</v>
    <v>418.88</v>
    <v>0.28599999999999998</v>
    <v>-1.57</v>
    <v>-8.1039999999999997E-4</v>
    <v>-3.3370000000000001E-3</v>
    <v>-0.38</v>
    <v>USD</v>
    <v>Lockheed Martin Corporation is a global aerospace and defense company. The Company is engaged in the research, design, development, manufacture, integration and sustainment of advanced technology systems, products and services. Its segments include Aeronautics, Missiles and Fire Control (MFC), Rotary and Mission Systems (RMS) and Space. Aeronautics segment is engaged in the research, design, development, manufacture, integration, sustainment, support and upgrade of advanced military aircraft. MFC segment provides air and missile defense systems, manned and unmanned ground vehicles, energy management solutions, and others. RMS segment designs, manufactures, services and supports various military and commercial helicopters, surface ships, sea and land-based missile defense systems, and others. Its Space segment is engaged in the research and design, development, engineering and production of satellites, space transportation systems, and strategic, advanced strike, and defensive systems.</v>
    <v>121000</v>
    <v>New York Stock Exchange</v>
    <v>XNYS</v>
    <v>XNYS</v>
    <v>6801 ROCKLEDGE DR, BETHESDA, MD, 20817 US</v>
    <v>469.55</v>
    <v>Aerospace &amp; Defense</v>
    <v>Stock</v>
    <v>45800.99594164297</v>
    <v>143</v>
    <v>465.56</v>
    <v>109856700000</v>
    <v>LOCKHEED MARTIN CORPORATION</v>
    <v>LOCKHEED MARTIN CORPORATION</v>
    <v>467.96</v>
    <v>20.322199999999999</v>
    <v>470.45</v>
    <v>468.88</v>
    <v>468.5</v>
    <v>234295900</v>
    <v>LMT</v>
    <v>LOCKHEED MARTIN CORPORATION (XNYS:LMT)</v>
    <v>866694</v>
    <v>1449829</v>
    <v>1994</v>
  </rv>
  <rv s="4">
    <v>144</v>
  </rv>
  <rv s="0">
    <v>https://www.bing.com/financeapi/forcetrigger?t=a1pcnm&amp;q=XNYS%3aCCJ&amp;form=skydnc</v>
    <v>Learn more on Bing</v>
  </rv>
  <rv s="5">
    <v>en-CA</v>
    <v>a1pcnm</v>
    <v>268435456</v>
    <v>1</v>
    <v>Powered by Refinitiv</v>
    <v>7</v>
    <v>CAMECO CORPORATION (XNYS:CCJ)</v>
    <v>8</v>
    <v>9</v>
    <v>Finance</v>
    <v>5</v>
    <v>62.55</v>
    <v>35</v>
    <v>0.93479999999999996</v>
    <v>5.88</v>
    <v>1.874E-3</v>
    <v>0.111343</v>
    <v>0.11</v>
    <v>USD</v>
    <v>Cameco Corporation is engaged in providing uranium fuel to generate clean, reliable baseload electricity around the globe. The Company also offers nuclear fuel processing services, refinery services and manufactures fuel assemblies and reactor components. Its segments include uranium, fuel services and Westinghouse. The uranium segment is involved in the exploration for, mining, milling, purchase and sale of uranium concentrate. The fuel services segment is involved in the refining, conversion and fabrication of uranium concentrate and the purchase and sale of conversion services. The Westinghouse segment is engaged in the nuclear services businesses. Its uranium projects include Millennium, Yeelirrie, and Kintyre. The Cree Extension-Millennium project is a Cameco-operated joint venture located in the southeastern portion of Canada's Athabasca Basin. The Yeelirrie deposit is located approximately 650-kilometer (Km) northeast of Perth and about 750 km south of its Kintyre project.</v>
    <v>2424</v>
    <v>New York Stock Exchange</v>
    <v>XNYS</v>
    <v>XNYS</v>
    <v>2121 11th St W, SASKATOON, SK, S7M 1J3 CA</v>
    <v>58.75</v>
    <v>Uranium</v>
    <v>Stock</v>
    <v>45800.99998547422</v>
    <v>146</v>
    <v>55.11</v>
    <v>25548750000</v>
    <v>CAMECO CORPORATION</v>
    <v>CAMECO CORPORATION</v>
    <v>56.064999999999998</v>
    <v>133.22649999999999</v>
    <v>52.81</v>
    <v>58.69</v>
    <v>58.8</v>
    <v>435316900</v>
    <v>CCJ</v>
    <v>CAMECO CORPORATION (XNYS:CCJ)</v>
    <v>13341308</v>
    <v>3897430</v>
    <v>1997</v>
  </rv>
  <rv s="4">
    <v>147</v>
  </rv>
  <rv s="0">
    <v>https://www.bing.com/financeapi/forcetrigger?t=a1p252&amp;q=XNYS%3aBWXT&amp;form=skydnc</v>
    <v>Learn more on Bing</v>
  </rv>
  <rv s="5">
    <v>en-CA</v>
    <v>a1p252</v>
    <v>268435456</v>
    <v>1</v>
    <v>Powered by Refinitiv</v>
    <v>7</v>
    <v>BWX TECHNOLOGIES, INC. (XNYS:BWXT)</v>
    <v>8</v>
    <v>9</v>
    <v>Finance</v>
    <v>5</v>
    <v>136.31</v>
    <v>84.208500000000001</v>
    <v>0.628</v>
    <v>11.87</v>
    <v>-4.1010000000000005E-3</v>
    <v>0.110295</v>
    <v>-0.49</v>
    <v>USD</v>
    <v>BWX Technologies, Inc. is a specialty manufacturer of nuclear components, a developer of nuclear technologies and a service provider. The Company also provides special nuclear materials processing, environmental site restoration services, products, and services. Its Government Operations segment manufactures naval nuclear reactors, including related nuclear fuel, for the United States Naval Nuclear Propulsion Program for use in submarines and aircraft carriers. It also fabricates fuel-bearing precision components that range in weight from a few grams to hundreds of tons, manufactures electromechanical equipment, and performs design, manufacturing, inspection, assembly, and testing activities. The Company is also a provider of advanced specialty materials, fabrication, and high-strength alloy manufacturing. Its Commercial Operations segment designs and manufactures commercial nuclear steam generators, heat exchangers, pressure vessels, reactor components, and other auxiliary equipment.</v>
    <v>8700</v>
    <v>New York Stock Exchange</v>
    <v>XNYS</v>
    <v>XNYS</v>
    <v>800 Main Street, 4Th Floor, LYNCHBURG, VA, 24504 US</v>
    <v>119.94</v>
    <v>Aerospace &amp; Defense</v>
    <v>Stock</v>
    <v>45800.999881515621</v>
    <v>149</v>
    <v>109.09</v>
    <v>10916690000</v>
    <v>BWX TECHNOLOGIES, INC.</v>
    <v>BWX TECHNOLOGIES, INC.</v>
    <v>113.01</v>
    <v>34.216099999999997</v>
    <v>107.62</v>
    <v>119.49</v>
    <v>119</v>
    <v>91360730</v>
    <v>BWXT</v>
    <v>BWX TECHNOLOGIES, INC. (XNYS:BWXT)</v>
    <v>2594266</v>
    <v>832548</v>
    <v>2010</v>
  </rv>
  <rv s="4">
    <v>150</v>
  </rv>
  <rv s="0">
    <v>https://www.bing.com/financeapi/forcetrigger?t=c2m6c7&amp;q=XNYS%3aALCC&amp;form=skydnc</v>
    <v>Learn more on Bing</v>
  </rv>
  <rv s="6">
    <v>en-CA</v>
    <v>c2m6c7</v>
    <v>268435456</v>
    <v>1</v>
    <v>Powered by Refinitiv</v>
    <v>10</v>
    <v>OKLO INC. (XNYS:OKLO)</v>
    <v>8</v>
    <v>11</v>
    <v>Finance</v>
    <v>5</v>
    <v>59.14</v>
    <v>5.35</v>
    <v>0.3352</v>
    <v>9.15</v>
    <v>-1.8793000000000001E-2</v>
    <v>0.23036300000000001</v>
    <v>-0.91839999999999999</v>
    <v>USD</v>
    <v>Oklo Inc. is an advanced nuclear technology company. The Company is engaged in developing fast fission power plants to provide clean, reliable, and affordable energy at scale. It is developing advanced fuel recycling technologies in collaboration with the United States Department of Energy and United States National Laboratories. It provides 24/7 clean energy to data centers, factories, industrial sites, communities, and defense facilities. It offers heat and power through power purchase agreements. Its powerhouse product line, Aurora, is designed to be inherently safe, to be able to run on fresh or recycled fuel, and to produce 15-50 megawatts electric (MWe) and with the potential to expand powerhouse size to produce 100 MWe of electricity. The Company intends to develop specialized radioisotope production capabilities to address urgent supply shortages in life-saving medical radioisotopes and advanced industrial applications.</v>
    <v>113</v>
    <v>New York Stock Exchange</v>
    <v>XNYS</v>
    <v>XNYS</v>
    <v>640 Fifth Avenue, 12th Floor, NEW YORK, NY, 10019 US</v>
    <v>52.17</v>
    <v>Electrical Utilities &amp; IPPs</v>
    <v>Stock</v>
    <v>45800.999975092185</v>
    <v>152</v>
    <v>43.63</v>
    <v>6802958000</v>
    <v>OKLO INC.</v>
    <v>OKLO INC.</v>
    <v>44.66</v>
    <v>39.72</v>
    <v>48.87</v>
    <v>47.951599999999999</v>
    <v>139205200</v>
    <v>OKLO</v>
    <v>OKLO INC. (XNYS:OKLO)</v>
    <v>92503108</v>
    <v>14019079</v>
    <v>2021</v>
  </rv>
  <rv s="4">
    <v>153</v>
  </rv>
  <rv s="0">
    <v>https://www.bing.com/financeapi/forcetrigger?t=bx1rdm&amp;q=XNYS%3aSMR&amp;form=skydnc</v>
    <v>Learn more on Bing</v>
  </rv>
  <rv s="6">
    <v>en-CA</v>
    <v>bx1rdm</v>
    <v>268435456</v>
    <v>1</v>
    <v>Powered by Refinitiv</v>
    <v>10</v>
    <v>NUSCALE POWER CORPORATION (XNYS:SMR)</v>
    <v>8</v>
    <v>11</v>
    <v>Finance</v>
    <v>5</v>
    <v>32.299999999999997</v>
    <v>6.61</v>
    <v>1.8533999999999999</v>
    <v>4.92</v>
    <v>-1.5212000000000002E-2</v>
    <v>0.19431300000000001</v>
    <v>-0.46</v>
    <v>USD</v>
    <v>NuScale Power Corporation is a provider of proprietary advanced small modular reactor nuclear technology. The Company’s groundbreaking SMR technology is powered by the NuScale Power Module, a small, safe, pressurized water reactor that can each generate 77 megawatts of electricity (MWe) or 250 megawatts thermal (gross) and can be scaled to meet customer needs through an array of flexible configurations up to 924 MWe (12 modules) of output. It serves diverse customers across the world by supplying nuclear energy for electrical generation, district heating, desalination, commercial-scale hydrogen production, and other process heat applications. In addition to its flagship 12-module (924 MWe) VOYGR-12TM power plant, it offers smaller power plant solutions, including the six-module (462 MWe) VOYGR-6TM and the four-module (308 MWe) VOYGR-4TM. It offers VOYGR power plant designs for three facility sizes that are scalable in that they are capable of housing from one to four, six or 12 NPMs.</v>
    <v>330</v>
    <v>New York Stock Exchange</v>
    <v>XNYS</v>
    <v>XNYS</v>
    <v>1100 Ne Circle Blvd., Suite 200, CORVALLIS, OR, 97330 US</v>
    <v>31.38</v>
    <v>Electrical Utilities &amp; IPPs</v>
    <v>Stock</v>
    <v>45800.999873020315</v>
    <v>155</v>
    <v>26.71</v>
    <v>8600041000</v>
    <v>NUSCALE POWER CORPORATION</v>
    <v>NUSCALE POWER CORPORATION</v>
    <v>28.5</v>
    <v>25.32</v>
    <v>30.24</v>
    <v>29.78</v>
    <v>284392900</v>
    <v>SMR</v>
    <v>NUSCALE POWER CORPORATION (XNYS:SMR)</v>
    <v>48870367</v>
    <v>8078435</v>
    <v>2022</v>
  </rv>
  <rv s="4">
    <v>156</v>
  </rv>
  <rv s="0">
    <v>https://www.bing.com/financeapi/forcetrigger?t=a1wuoc&amp;q=XNYS%3aLEU&amp;form=skydnc</v>
    <v>Learn more on Bing</v>
  </rv>
  <rv s="5">
    <v>en-CA</v>
    <v>a1wuoc</v>
    <v>268435456</v>
    <v>1</v>
    <v>Powered by Refinitiv</v>
    <v>7</v>
    <v>CENTRUS ENERGY CORP. (XNYS:LEU)</v>
    <v>8</v>
    <v>9</v>
    <v>Finance</v>
    <v>5</v>
    <v>122.94499999999999</v>
    <v>33.51</v>
    <v>1.2323</v>
    <v>20.12</v>
    <v>9.7100000000000007E-4</v>
    <v>0.215949</v>
    <v>0.11</v>
    <v>USD</v>
    <v>Centrus Energy Corp. is a supplier of nuclear fuel components for the nuclear power industry. Its segments include Low-Enriched Uranium (LEU) and Technical Solutions. Its LEU segment supplies various components of nuclear fuel to commercial customers from its global network of suppliers. The LEU segment consists of two components: SWU and natural uranium hexafluoride. It supplies LEU and its components to both domestic and international utilities for use in nuclear reactors worldwide. It provides LEU from multiple sources, including its inventory, medium- and long-term supply contracts, and spot purchases. It also sells natural uranium hexafluoride and occasionally sells uranium concentrates. The Technical Solutions segment provides advanced engineering, design, and manufacturing services to government and private sector customers. It is deploying uranium enrichment and other capabilities necessary to produce advanced nuclear fuel to power existing reactors around the world.</v>
    <v>322</v>
    <v>New York Stock Exchange</v>
    <v>XNYS</v>
    <v>XNYS</v>
    <v>6901 Rockledge Dr, Suite 800, BETHESDA, MD, 20817 US</v>
    <v>118.27</v>
    <v>Uranium</v>
    <v>Stock</v>
    <v>45800.999754791403</v>
    <v>158</v>
    <v>100.5</v>
    <v>1930152000</v>
    <v>CENTRUS ENERGY CORP.</v>
    <v>CENTRUS ENERGY CORP.</v>
    <v>111.75</v>
    <v>14.611800000000001</v>
    <v>93.17</v>
    <v>113.29</v>
    <v>113.4</v>
    <v>17037270</v>
    <v>LEU</v>
    <v>CENTRUS ENERGY CORP. (XNYS:LEU)</v>
    <v>4260230</v>
    <v>634851</v>
    <v>1998</v>
  </rv>
  <rv s="4">
    <v>159</v>
  </rv>
  <rv s="13">
    <v>en-CA</v>
    <v>cd5wxm</v>
    <v>268435456</v>
    <v>1</v>
    <v>Powered by Refinitiv</v>
    <v>32</v>
    <v>Nano Nuclear Energy Inc (XNAS:NNE)</v>
    <v>26</v>
    <v>9</v>
    <v>Finance</v>
    <v>5</v>
    <v>48.05</v>
    <v>3.81</v>
    <v>4.7759999999999998</v>
    <v>8.2899999999999991</v>
    <v>-2.789E-4</v>
    <v>0.30068899999999998</v>
    <v>-0.01</v>
    <v>USD</v>
    <v>Nano Nuclear Energy Inc. is an advanced technology-driven nuclear energy company. Its business lines include cutting edge portable and other microreactor technologies, nuclear fuel fabrication, nuclear fuel transportation, nuclear applications for space and nuclear industry consulting services. Its reactor products in development include ZEUS, a solid core battery reactor, and ODIN, a low-pressure coolant reactor, each representing advanced developments in clean energy solutions that are portable, on-demand capable, advanced nuclear microreactors. It also develops patented stationary KRONOS Micro Modular Reactor (MMR) Energy System and space focused Pylon Transportable Reactor Platform. Its subsidiaries include Advanced Fuel Transportation Inc. (AFT), HALEU Energy Fuel Inc., and NANO Nuclear Space Inc. (NNS). NNS focuses on applications, such as the LOKI MMR system and other power systems. AFT provides commercial quantities of HALEU fuel to small modular reactors, military, and others.</v>
    <v>5</v>
    <v>Nasdaq Stock Market</v>
    <v>XNAS</v>
    <v>XNAS</v>
    <v>10 Times Square, 30th Floor, NEW YORK, NY, 10018 US</v>
    <v>37.229999999999997</v>
    <v>Electrical Utilities &amp; IPPs</v>
    <v>Stock</v>
    <v>45800.999935138279</v>
    <v>29.040099999999999</v>
    <v>1344796000</v>
    <v>Nano Nuclear Energy Inc</v>
    <v>Nano Nuclear Energy Inc</v>
    <v>30.11</v>
    <v>0</v>
    <v>27.57</v>
    <v>35.86</v>
    <v>35.85</v>
    <v>37501270</v>
    <v>NNE</v>
    <v>Nano Nuclear Energy Inc (XNAS:NNE)</v>
    <v>19939986</v>
    <v>1836136</v>
    <v>2022</v>
  </rv>
  <rv s="4">
    <v>161</v>
  </rv>
  <rv s="13">
    <v>en-CA</v>
    <v>c7x627</v>
    <v>268435456</v>
    <v>1</v>
    <v>Powered by Refinitiv</v>
    <v>32</v>
    <v>ASP ISOTOPES INC. (XNAS:ASPI)</v>
    <v>26</v>
    <v>9</v>
    <v>Finance</v>
    <v>5</v>
    <v>9.33</v>
    <v>1.86</v>
    <v>2.137</v>
    <v>0.79</v>
    <v>1.5134000000000002E-2</v>
    <v>0.101282</v>
    <v>0.13</v>
    <v>USD</v>
    <v>ASP Isotopes Inc. is a development stage advanced materials company. The Company is engaged in the development of technology and processes to produce isotopes for use in multiple industries. The Company employs proprietary technology, the Aerodynamic Separation Process (ASP technology). Its initial focus is on producing and commercializing highly enriched isotopes for the healthcare and technology industries. Its Nuclear Fuels segment is focused on research and development of technologies and methods used to produce high-assay low-enriched uranium (HALEU) and Lithium-6 for the advanced nuclear fuels target end market. Its Specialist Isotopes and Related Services segment is focused on research and development of technologies and methods used to separate high-value, low-volume isotopes (such as C-14, Mo-100, and Si-28) for highly specialized target end markets other than advanced nuclear fuels, including pharmaceuticals and agrochemicals, nuclear medical imaging, and others.</v>
    <v>136</v>
    <v>Nasdaq Stock Market</v>
    <v>XNAS</v>
    <v>XNAS</v>
    <v>601 Pennsylvania Avenue Nw, South Building, Suite 900, WASHINGTON, DC, 20004 US</v>
    <v>9.1</v>
    <v>Pharmaceuticals</v>
    <v>Stock</v>
    <v>45800.998918495316</v>
    <v>7.97</v>
    <v>644781300</v>
    <v>ASP ISOTOPES INC.</v>
    <v>ASP ISOTOPES INC.</v>
    <v>8.09</v>
    <v>0</v>
    <v>7.8</v>
    <v>8.59</v>
    <v>8.7200000000000006</v>
    <v>75061840</v>
    <v>ASPI</v>
    <v>ASP ISOTOPES INC. (XNAS:ASPI)</v>
    <v>12336758</v>
    <v>2621363</v>
    <v>2021</v>
  </rv>
  <rv s="4">
    <v>163</v>
  </rv>
  <rv s="14">
    <v>en-CA</v>
    <v>cdqwpr</v>
    <v>268435456</v>
    <v>1</v>
    <v>Powered by Refinitiv</v>
    <v>33</v>
    <v>enCore Energy Corp. (NEOE:EU)</v>
    <v>26</v>
    <v>34</v>
    <v>Finance</v>
    <v>35</v>
    <v>6.75</v>
    <v>1.48</v>
    <v>1.3269</v>
    <v>0.09</v>
    <v>3.3333000000000002E-2</v>
    <v>CAD</v>
    <v>enCore Energy Corp. is a clean energy company. The Company is engaged in providing clean, reliable, and affordable fuel for nuclear energy as the uranium producer in the United States. The Company is focused on producing domestic uranium in the United States. The Company only utilizes the In-Situ Recovery technology (ISR) to provide necessary fuel for the generation of clean, reliable, and carbon-free nuclear energy. Its projects include Alta Mesa Project, Mestena Grande Uranium Project, Dewey-Burdock Project, Gas Hills Project, Juniper Ridge Project, Aladdin Project, Centennial Project, and others. The Alta Mesa Project is located within a portion of the private land holdings of the Jones Ranch and includes surface and mineral rights as well as oil and gas and other minerals including uranium. The Dewey-Burdock Project is an ISR uranium project located in the Edgemont uranium district in South Dakota. The Gas Hills Project is located in the Gas Hills uranium district.</v>
    <v>131</v>
    <v>NEO Exchange</v>
    <v>NEOE</v>
    <v>NEOE</v>
    <v>101 N. Shoreline Blvd. Suite 450, CORPUS CHRISTI, TX, 78401 US</v>
    <v>2.84</v>
    <v>Uranium</v>
    <v>Stock</v>
    <v>45803.832988633592</v>
    <v>2.7</v>
    <v>496489100</v>
    <v>enCore Energy Corp.</v>
    <v>enCore Energy Corp.</v>
    <v>2.78</v>
    <v>2.7</v>
    <v>2.79</v>
    <v>186848500</v>
    <v>EU</v>
    <v>enCore Energy Corp. (NEOE:EU)</v>
    <v>28600</v>
    <v>180310</v>
    <v>2009</v>
  </rv>
  <rv s="4">
    <v>165</v>
  </rv>
  <rv s="0">
    <v>https://www.bing.com/financeapi/forcetrigger?t=a1tr1h&amp;q=XNYS%3aGE&amp;form=skydnc</v>
    <v>Learn more on Bing</v>
  </rv>
  <rv s="5">
    <v>en-CA</v>
    <v>a1tr1h</v>
    <v>268435456</v>
    <v>1</v>
    <v>Powered by Refinitiv</v>
    <v>7</v>
    <v>GENERAL ELECTRIC COMPANY (XNYS:GE)</v>
    <v>8</v>
    <v>9</v>
    <v>Finance</v>
    <v>5</v>
    <v>237.3</v>
    <v>150.20009999999999</v>
    <v>1.3688</v>
    <v>2.52</v>
    <v>9.9229999999999995E-3</v>
    <v>1.0944000000000001E-2</v>
    <v>2.31</v>
    <v>USD</v>
    <v>General Electric Company, doing business as GE Aerospace, is a global aerospace propulsion, services, and systems company. The Company has an installed base of approximately 45,000 commercial and 25,000 military aircraft engines. The Company operates through two segments: Commercial Engines &amp; Services and Defense &amp; Propulsion Technologies. The Commercial Engines &amp; Services segment designs, develops, manufactures and services jet engines for commercial airframes, as well as business aviation and aeroderivative applications. Its services include maintenance, repair and overhaul (MRO) of engines and the sale of spare parts and offers services under a variety of arrangements. The Defense &amp; Propulsion Technologies segment provides defense engines and critical aircraft systems and consists of its Defense &amp; Systems and Propulsion &amp; Additive Technologies businesses. Its portfolio of brands includes Avio Aero, Unison, Dowty Propellers and Colibrium Additive.</v>
    <v>53000</v>
    <v>New York Stock Exchange</v>
    <v>XNYS</v>
    <v>XNYS</v>
    <v>1 Neumann Way, Evendale, OH, 45215 US</v>
    <v>233.6919</v>
    <v>Aerospace &amp; Defense</v>
    <v>Stock</v>
    <v>45800.999453842189</v>
    <v>167</v>
    <v>228.00630000000001</v>
    <v>248244100000</v>
    <v>GENERAL ELECTRIC COMPANY</v>
    <v>GENERAL ELECTRIC COMPANY</v>
    <v>228.84</v>
    <v>36.2849</v>
    <v>230.27</v>
    <v>232.79</v>
    <v>235.1</v>
    <v>1066387000</v>
    <v>GE</v>
    <v>GENERAL ELECTRIC COMPANY (XNYS:GE)</v>
    <v>4234172</v>
    <v>5397771</v>
    <v>1892</v>
  </rv>
  <rv s="4">
    <v>168</v>
  </rv>
  <rv s="0">
    <v>https://www.bing.com/financeapi/forcetrigger?t=a242qh&amp;q=XNYS%3aTDG&amp;form=skydnc</v>
    <v>Learn more on Bing</v>
  </rv>
  <rv s="5">
    <v>en-CA</v>
    <v>a242qh</v>
    <v>268435456</v>
    <v>1</v>
    <v>Powered by Refinitiv</v>
    <v>7</v>
    <v>TRANSDIGM GROUP INCORPORATED (XNYS:TDG)</v>
    <v>8</v>
    <v>9</v>
    <v>Finance</v>
    <v>5</v>
    <v>1488.54</v>
    <v>1114.1407999999999</v>
    <v>1.0568</v>
    <v>26.35</v>
    <v>0</v>
    <v>1.8752000000000001E-2</v>
    <v>0</v>
    <v>USD</v>
    <v>TransDigm Group Incorporated, through its wholly owned subsidiaries, is a global designer, producer and supplier of highly engineered aircraft components for use on nearly all commercial and military aircraft. Its segments include Power &amp; Control, Airframe and Non-aviation. The Power &amp; Control segment includes operations that primarily develop, produce and market systems and components that predominately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major product offerings in this segment include engineered latching and locking devices, engineered rods, and others. The Non-aviation segment includes operations that primarily develop, produce and market products for non-aviation markets.</v>
    <v>16600</v>
    <v>New York Stock Exchange</v>
    <v>XNYS</v>
    <v>XNYS</v>
    <v>1350 Euclid Avenue, Suite 1600, CLEVELAND, OH, 44115 US</v>
    <v>1442.7349999999999</v>
    <v>Aerospace &amp; Defense</v>
    <v>Stock</v>
    <v>45800.958333356248</v>
    <v>170</v>
    <v>1389.95</v>
    <v>80403180000</v>
    <v>TRANSDIGM GROUP INCORPORATED</v>
    <v>TRANSDIGM GROUP INCORPORATED</v>
    <v>1391.46</v>
    <v>47.414700000000003</v>
    <v>1405.15</v>
    <v>1431.5</v>
    <v>1431.5</v>
    <v>56167090</v>
    <v>TDG</v>
    <v>TRANSDIGM GROUP INCORPORATED (XNYS:TDG)</v>
    <v>430440</v>
    <v>291777</v>
    <v>2003</v>
  </rv>
  <rv s="4">
    <v>171</v>
  </rv>
  <rv s="0">
    <v>https://www.bing.com/financeapi/forcetrigger?t=a1tppr&amp;q=XNYS%3aGD&amp;form=skydnc</v>
    <v>Learn more on Bing</v>
  </rv>
  <rv s="5">
    <v>en-CA</v>
    <v>a1tppr</v>
    <v>268435456</v>
    <v>1</v>
    <v>Powered by Refinitiv</v>
    <v>7</v>
    <v>GENERAL DYNAMICS CORPORATION (XNYS:GD)</v>
    <v>8</v>
    <v>9</v>
    <v>Finance</v>
    <v>5</v>
    <v>316.89999999999998</v>
    <v>239.2</v>
    <v>0.46829999999999999</v>
    <v>-2.2799999999999998</v>
    <v>-2.7300000000000002E-3</v>
    <v>-8.2299999999999995E-3</v>
    <v>-0.75</v>
    <v>USD</v>
    <v>General Dynamics Corporation is a global aerospace and defense company. It offers a portfolio of products and services in business aviation; ship construction and repair; land combat vehicles, weapons systems and munitions, and technology products and services. Its segments include Aerospace, Marine Systems, Combat Systems and Technologies. The Aerospace segment produces business jets and is the standard bearer in new technology aircraft, aircraft repair, customer support and custom completion services. The Marine Systems segment designs and builds nuclear-powered submarines and is engaged in surface combatant and auxiliary ship design and construction for the U.S. Navy. The Combat Systems segment manufactures land combat solutions worldwide, including wheeled and tracked combat vehicles, weapons systems and munitions. The Technologies segment provides a full spectrum of services, technologies and products to a range of military, intelligence, federal civilian and state customers.</v>
    <v>117000</v>
    <v>New York Stock Exchange</v>
    <v>XNYS</v>
    <v>XNYS</v>
    <v>11011 Sunset Hills Rd, RESTON, VA, 20190 US</v>
    <v>275.625</v>
    <v>Aerospace &amp; Defense</v>
    <v>Stock</v>
    <v>45800.994820289059</v>
    <v>173</v>
    <v>273.26010000000002</v>
    <v>73741840000</v>
    <v>GENERAL DYNAMICS CORPORATION</v>
    <v>GENERAL DYNAMICS CORPORATION</v>
    <v>274.75</v>
    <v>19.235900000000001</v>
    <v>277.02999999999997</v>
    <v>274.75</v>
    <v>274</v>
    <v>268396100</v>
    <v>GD</v>
    <v>GENERAL DYNAMICS CORPORATION (XNYS:GD)</v>
    <v>835881</v>
    <v>1295366</v>
    <v>1952</v>
  </rv>
  <rv s="4">
    <v>174</v>
  </rv>
  <rv s="0">
    <v>https://www.bing.com/financeapi/forcetrigger?t=a1yngh&amp;q=XNYS%3aNOC&amp;form=skydnc</v>
    <v>Learn more on Bing</v>
  </rv>
  <rv s="5">
    <v>en-CA</v>
    <v>a1yngh</v>
    <v>268435456</v>
    <v>1</v>
    <v>Powered by Refinitiv</v>
    <v>7</v>
    <v>NORTHROP GRUMMAN CORPORATION (XNYS:NOC)</v>
    <v>8</v>
    <v>9</v>
    <v>Finance</v>
    <v>5</v>
    <v>555.56569999999999</v>
    <v>418.6</v>
    <v>0.13689999999999999</v>
    <v>-1.42</v>
    <v>1.0609999999999999E-4</v>
    <v>-3.003E-3</v>
    <v>0.05</v>
    <v>USD</v>
    <v>Northrop Grumman Corporation is a global aerospace and defense technology company. The Company operates through four segments: Aeronautics Systems, Defense Systems, Mission Systems and Space Systems. The Aeronautics Systems segment is engaged in the design, development, production, integration, sustainment and modernization of advanced aircraft systems for the United States Air Force, the United States Navy, and international customers. The Defense Systems segment is involved in the design, engineering, development, integration, and manufacturing of deterrent systems, advanced tactical weapons, and missile defense solutions. Multifunction systems and advanced mission solutions are offered by the Mission Systems segment. For national security, civil government, commercial, and international clients, the Space Systems segment designs, develops, integrates, produces, and operates space, missile defense, and launch systems to provide end-to-end mission solutions.</v>
    <v>97000</v>
    <v>New York Stock Exchange</v>
    <v>XNYS</v>
    <v>XNYS</v>
    <v>2980 Fairview Park Drive, FALLS CHURCH, VA, 22042 US</v>
    <v>472.97</v>
    <v>Aerospace &amp; Defense</v>
    <v>Stock</v>
    <v>45800.987534339845</v>
    <v>176</v>
    <v>468.28640000000001</v>
    <v>67856380000</v>
    <v>NORTHROP GRUMMAN CORPORATION</v>
    <v>NORTHROP GRUMMAN CORPORATION</v>
    <v>472.07</v>
    <v>18.6492</v>
    <v>472.88</v>
    <v>471.46</v>
    <v>471.51</v>
    <v>143928200</v>
    <v>NOC</v>
    <v>NORTHROP GRUMMAN CORPORATION (XNYS:NOC)</v>
    <v>679237</v>
    <v>1309961</v>
    <v>2010</v>
  </rv>
  <rv s="4">
    <v>177</v>
  </rv>
  <rv s="0">
    <v>https://www.bing.com/financeapi/forcetrigger?t=a1nqw7&amp;q=XNYS%3aHWM&amp;form=skydnc</v>
    <v>Learn more on Bing</v>
  </rv>
  <rv s="5">
    <v>en-CA</v>
    <v>a1nqw7</v>
    <v>268435456</v>
    <v>1</v>
    <v>Powered by Refinitiv</v>
    <v>7</v>
    <v>HOWMET AEROSPACE INC. (XNYS:HWM)</v>
    <v>8</v>
    <v>9</v>
    <v>Finance</v>
    <v>5</v>
    <v>166.5</v>
    <v>76.83</v>
    <v>1.4208000000000001</v>
    <v>2.08</v>
    <v>6.0569999999999998E-5</v>
    <v>1.2760000000000001E-2</v>
    <v>0.01</v>
    <v>USD</v>
    <v>Howmet Aerospace Inc. is a global provider of advanced engineered solutions for the aerospace and transportation industries. The Company’s primary business focus is on jet engine components, aerospace fastening systems, and airframe structural components. Its Engine Products segment produces investment castings, including airfoils, and seamless rolled rings primarily for aircraft engines and industrial gas turbine applications. Its Fastening Systems segment produces aerospace fastening systems, as well as commercial transportation, industrial and other fasteners. Its Engineered Structures segment produces titanium ingots and mill products for aerospace and defense applications and is vertically integrated to produce titanium forgings, titanium extrusions, and machining services for airframe, wing, aero-engine, and landing gear components. Its Forged Wheels segment provides forged aluminum wheels and related products for heavy-duty trucks and the commercial transportation market.</v>
    <v>23930</v>
    <v>New York Stock Exchange</v>
    <v>XNYS</v>
    <v>XNYS</v>
    <v>201 Isabella Street, Suite 200, PITTSBURGH, PA, 15212-5872 US</v>
    <v>166.02500000000001</v>
    <v>Aerospace &amp; Defense</v>
    <v>Stock</v>
    <v>45800.999435543752</v>
    <v>179</v>
    <v>160.01050000000001</v>
    <v>66772920000</v>
    <v>HOWMET AEROSPACE INC.</v>
    <v>HOWMET AEROSPACE INC.</v>
    <v>161.58000000000001</v>
    <v>53.097700000000003</v>
    <v>163.01</v>
    <v>165.09</v>
    <v>165.1</v>
    <v>404463700</v>
    <v>HWM</v>
    <v>HOWMET AEROSPACE INC. (XNYS:HWM)</v>
    <v>2045869</v>
    <v>2783764</v>
    <v>2017</v>
  </rv>
  <rv s="4">
    <v>180</v>
  </rv>
  <rv s="0">
    <v>https://www.bing.com/financeapi/forcetrigger?t=a1uvar&amp;q=XNYS%3aLHX&amp;form=skydnc</v>
    <v>Learn more on Bing</v>
  </rv>
  <rv s="5">
    <v>en-CA</v>
    <v>a1uvar</v>
    <v>268435456</v>
    <v>1</v>
    <v>Powered by Refinitiv</v>
    <v>7</v>
    <v>L3HARRIS TECHNOLOGIES, INC. (XNYS:LHX)</v>
    <v>8</v>
    <v>9</v>
    <v>Finance</v>
    <v>5</v>
    <v>265.74</v>
    <v>193.09</v>
    <v>0.72970000000000002</v>
    <v>-1.7</v>
    <v>6.1050000000000002E-3</v>
    <v>-7.1069999999999996E-3</v>
    <v>1.4499</v>
    <v>USD</v>
    <v>L3Harris Technologies, Inc. provides end-to-end technology solutions connecting the space, air, land, sea and cyber domains in the interest of national security. Its segments include Space &amp; Airborne Systems (SAS), Integrated Mission Systems (IMS), Communication Systems (CS), and Aerojet Rocketdyne (AR). The SAS segment supplies full mission solutions as a prime and subsystem integrator in the space, airborne and cyber domains. The IMS segment delivers differentiated mission capabilities and prime systems integration to support intelligence, reconnaissance and surveillance (ISR), passive sensing and targeting, electronic attack, autonomy, power and communications, networks and sensors. CS enables warfighters across all domains with solutions critical to mission success even in the contested environments. The AR segment provides propulsion, power and armament products and systems to the U.S. Government, including the DoD, NASA and various aerospace and defense prime contractors.</v>
    <v>47000</v>
    <v>New York Stock Exchange</v>
    <v>XNYS</v>
    <v>XNYS</v>
    <v>1025 W Nasa Blvd, MELBOURNE, FL, 32919-0001 US</v>
    <v>238.46</v>
    <v>Aerospace &amp; Defense</v>
    <v>Stock</v>
    <v>45800.998376735937</v>
    <v>182</v>
    <v>235.71899999999999</v>
    <v>44397720000</v>
    <v>L3HARRIS TECHNOLOGIES, INC.</v>
    <v>L3HARRIS TECHNOLOGIES, INC.</v>
    <v>237</v>
    <v>28.351099999999999</v>
    <v>239.19</v>
    <v>237.49</v>
    <v>238.93989999999999</v>
    <v>186945600</v>
    <v>LHX</v>
    <v>L3HARRIS TECHNOLOGIES, INC. (XNYS:LHX)</v>
    <v>2359801</v>
    <v>1536786</v>
    <v>1926</v>
  </rv>
  <rv s="4">
    <v>183</v>
  </rv>
  <rv s="0">
    <v>https://www.bing.com/financeapi/forcetrigger?t=a1mpc7&amp;q=XNAS%3aAXON&amp;form=skydnc</v>
    <v>Learn more on Bing</v>
  </rv>
  <rv s="5">
    <v>en-CA</v>
    <v>a1mpc7</v>
    <v>268435456</v>
    <v>1</v>
    <v>Powered by Refinitiv</v>
    <v>7</v>
    <v>AXON ENTERPRISE, INC. (XNAS:AXON)</v>
    <v>8</v>
    <v>9</v>
    <v>Finance</v>
    <v>5</v>
    <v>748.8</v>
    <v>273.52</v>
    <v>1.2775000000000001</v>
    <v>7.62</v>
    <v>-1.887E-3</v>
    <v>1.0527999999999999E-2</v>
    <v>-1.38</v>
    <v>USD</v>
    <v>Axon Enterprise, Inc. is a technology provider in global public safety. It is engaged in building public safety operating systems by integrating a suite of hardware devices and cloud software solutions that lead to modern policing. Its suite includes TASER energy devices, body cameras, in-car cameras, cloud-hosted digital evidence management solutions, productivity software and real-time operations capabilities. Its TASER segment manufactures and sells conducted energy devices, batteries, accessories, extended warranties and other products and services. Its Software and Sensors segment develops, manufactures and sells fully integrated hardware and cloud-based software solutions that enable law enforcement to capture, securely store, manage, share and analyze video and other digital evidence. It also develops smart devices, tools and services that support public safety officers in de-escalating situations, avoiding or minimizing the use of force and aiding consumer personal protection.</v>
    <v>4100</v>
    <v>Nasdaq Stock Market</v>
    <v>XNAS</v>
    <v>XNAS</v>
    <v>17800 N 85th St, SCOTTSDALE, AZ, 85255-6311 US</v>
    <v>735.42589999999996</v>
    <v>Aerospace &amp; Defense</v>
    <v>Stock</v>
    <v>45800.982253564063</v>
    <v>185</v>
    <v>714</v>
    <v>56937750000</v>
    <v>AXON ENTERPRISE, INC.</v>
    <v>AXON ENTERPRISE, INC.</v>
    <v>717.98</v>
    <v>175.4486</v>
    <v>723.75</v>
    <v>731.37</v>
    <v>729.99</v>
    <v>77850810</v>
    <v>AXON</v>
    <v>AXON ENTERPRISE, INC. (XNAS:AXON)</v>
    <v>422654</v>
    <v>594046</v>
    <v>2001</v>
  </rv>
  <rv s="4">
    <v>186</v>
  </rv>
  <rv s="0">
    <v>https://www.bing.com/financeapi/forcetrigger?t=a24p77&amp;q=XNYS%3aTXT&amp;form=skydnc</v>
    <v>Learn more on Bing</v>
  </rv>
  <rv s="5">
    <v>en-CA</v>
    <v>a24p77</v>
    <v>268435456</v>
    <v>1</v>
    <v>Powered by Refinitiv</v>
    <v>7</v>
    <v>TEXTRON INC. (XNYS:TXT)</v>
    <v>8</v>
    <v>9</v>
    <v>Finance</v>
    <v>5</v>
    <v>94.564999999999998</v>
    <v>57.7</v>
    <v>1.1695</v>
    <v>-0.56000000000000005</v>
    <v>1.9061999999999999E-2</v>
    <v>-7.6210000000000002E-3</v>
    <v>1.39</v>
    <v>USD</v>
    <v>Textron Inc. is a multi-industry company that leverages its global network of aircraft, defense, industrial and finance businesses to provide customers with various solutions and services. The Company's segments include Textron Aviation, Bell, Textron Systems, Industrial, Textron eAviation, and Finance. Textron Aviation segment manufactures, sells and services Cessna and Beechcraft aircraft, and services the Hawker brand of business jets. Bell segment supplies military and commercial helicopters, tiltrotor aircraft, and related spare parts and services in the world. Textron Systems segment offers electronic systems and solutions, advanced marine craft, piston aircraft engines, and others. Industrial segment designs and manufactures a variety of products within the Kautex and Specialized Vehicles product lines. Textron eAviation segment includes Pipistrel, a manufacturer of light aircraft, along with other research and development initiatives related to sustainable aviation solutions.</v>
    <v>34000</v>
    <v>New York Stock Exchange</v>
    <v>XNYS</v>
    <v>XNYS</v>
    <v>40 WESTMINSTER ST, PROVIDENCE, RI, 02903-2525 US</v>
    <v>73.17</v>
    <v>Aerospace &amp; Defense</v>
    <v>Stock</v>
    <v>45800.958333344533</v>
    <v>188</v>
    <v>72</v>
    <v>13164890000</v>
    <v>TEXTRON INC.</v>
    <v>TEXTRON INC.</v>
    <v>72.23</v>
    <v>16.982700000000001</v>
    <v>73.48</v>
    <v>72.92</v>
    <v>74.31</v>
    <v>180538800</v>
    <v>TXT</v>
    <v>TEXTRON INC. (XNYS:TXT)</v>
    <v>804253</v>
    <v>1551610</v>
    <v>1967</v>
  </rv>
  <rv s="4">
    <v>189</v>
  </rv>
  <rv s="0">
    <v>https://www.bing.com/financeapi/forcetrigger?t=a1uozr&amp;q=XNYS%3aHII&amp;form=skydnc</v>
    <v>Learn more on Bing</v>
  </rv>
  <rv s="5">
    <v>en-CA</v>
    <v>a1uozr</v>
    <v>268435456</v>
    <v>1</v>
    <v>Powered by Refinitiv</v>
    <v>7</v>
    <v>HUNTINGTON INGALLS INDUSTRIES, INC. (XNYS:HII)</v>
    <v>8</v>
    <v>9</v>
    <v>Finance</v>
    <v>5</v>
    <v>285.81</v>
    <v>158.88</v>
    <v>0.28620000000000001</v>
    <v>0.25</v>
    <v>6.2290000000000002E-4</v>
    <v>1.114E-3</v>
    <v>0.14000000000000001</v>
    <v>USD</v>
    <v>Huntington Ingalls Industries, Inc. is a global, all-domain defense provider. The Company delivers ships and all-domain solutions in service of the nation. It delivers critical capabilities extending from ships to unmanned systems, cyber, ISR, AI/ML and synthetic training. It operates through three segments: Ingalls Shipbuilding (Ingalls), Newport News Shipbuilding (Newport News), and Mission Technologies. Through its Ingalls segment, the Company designs and constructs non-nuclear ships for the United States Navy and Coast Guard, including amphibious assault ships, expeditionary warfare ships, surface combatants, and national security cutters (NSC). The core business of its Newport News segment is designing and constructing nuclear-powered aircraft carriers and submarines, and the refueling and overhaul and the inactivation of nuclear-powered aircraft carriers. The Company’s Mission Technologies segment develops integrated solutions that enable connected, all-domain force.</v>
    <v>44000</v>
    <v>New York Stock Exchange</v>
    <v>XNYS</v>
    <v>XNYS</v>
    <v>909-7, 7J2, 4101 Washington Avenue, NEWPORT NEWS, VA, 23607 US</v>
    <v>225.63</v>
    <v>Aerospace &amp; Defense</v>
    <v>Stock</v>
    <v>45800.984613367968</v>
    <v>191</v>
    <v>221.35</v>
    <v>8818603000</v>
    <v>HUNTINGTON INGALLS INDUSTRIES, INC.</v>
    <v>HUNTINGTON INGALLS INDUSTRIES, INC.</v>
    <v>222.2</v>
    <v>16.180800000000001</v>
    <v>224.49</v>
    <v>224.74</v>
    <v>224.88</v>
    <v>39239130</v>
    <v>HII</v>
    <v>HUNTINGTON INGALLS INDUSTRIES, INC. (XNYS:HII)</v>
    <v>256873</v>
    <v>582323</v>
    <v>2010</v>
  </rv>
  <rv s="4">
    <v>192</v>
  </rv>
  <rv s="0">
    <v>https://www.bing.com/financeapi/forcetrigger?t=a24kar&amp;q=XNAS%3aTSLA&amp;form=skydnc</v>
    <v>Learn more on Bing</v>
  </rv>
  <rv s="5">
    <v>en-CA</v>
    <v>a24kar</v>
    <v>268435456</v>
    <v>1</v>
    <v>Powered by Refinitiv</v>
    <v>7</v>
    <v>TESLA, INC. (XNAS:TSLA)</v>
    <v>8</v>
    <v>9</v>
    <v>Finance</v>
    <v>5</v>
    <v>488.53989999999999</v>
    <v>167.41</v>
    <v>2.4685000000000001</v>
    <v>-1.7</v>
    <v>1.5319999999999999E-3</v>
    <v>-4.9849999999999998E-3</v>
    <v>0.52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343.18</v>
    <v>Automobiles &amp; Auto Parts</v>
    <v>Stock</v>
    <v>45800.999993957812</v>
    <v>194</v>
    <v>333.21</v>
    <v>1092999000000</v>
    <v>TESLA, INC.</v>
    <v>TESLA, INC.</v>
    <v>337.92</v>
    <v>187.70740000000001</v>
    <v>341.04</v>
    <v>339.34</v>
    <v>339.86</v>
    <v>3220956000</v>
    <v>TSLA</v>
    <v>TESLA, INC. (XNAS:TSLA)</v>
    <v>84654818</v>
    <v>111677754</v>
    <v>2024</v>
  </rv>
  <rv s="4">
    <v>195</v>
  </rv>
  <rv s="0">
    <v>https://www.bing.com/financeapi/forcetrigger?t=a1tyrw&amp;q=XNYS%3aGM&amp;form=skydnc</v>
    <v>Learn more on Bing</v>
  </rv>
  <rv s="5">
    <v>en-CA</v>
    <v>a1tyrw</v>
    <v>268435456</v>
    <v>1</v>
    <v>Powered by Refinitiv</v>
    <v>7</v>
    <v>GENERAL MOTORS COMPANY (XNYS:GM)</v>
    <v>8</v>
    <v>9</v>
    <v>Finance</v>
    <v>5</v>
    <v>61.24</v>
    <v>38.96</v>
    <v>1.3414999999999999</v>
    <v>-0.59</v>
    <v>0</v>
    <v>-1.1972E-2</v>
    <v>0</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49.17</v>
    <v>Automobiles &amp; Auto Parts</v>
    <v>Stock</v>
    <v>45800.995279189061</v>
    <v>197</v>
    <v>48.312100000000001</v>
    <v>47048200000</v>
    <v>GENERAL MOTORS COMPANY</v>
    <v>GENERAL MOTORS COMPANY</v>
    <v>48.37</v>
    <v>7.1032999999999999</v>
    <v>49.28</v>
    <v>48.69</v>
    <v>48.69</v>
    <v>966280500</v>
    <v>GM</v>
    <v>GENERAL MOTORS COMPANY (XNYS:GM)</v>
    <v>5612309</v>
    <v>10458156</v>
    <v>2009</v>
  </rv>
  <rv s="4">
    <v>198</v>
  </rv>
  <rv s="0">
    <v>https://www.bing.com/financeapi/forcetrigger?t=a1pxec&amp;q=XNYS%3aCMI&amp;form=skydnc</v>
    <v>Learn more on Bing</v>
  </rv>
  <rv s="5">
    <v>en-CA</v>
    <v>a1pxec</v>
    <v>268435456</v>
    <v>1</v>
    <v>Powered by Refinitiv</v>
    <v>7</v>
    <v>CUMMINS INC. (XNYS:CMI)</v>
    <v>8</v>
    <v>9</v>
    <v>Finance</v>
    <v>5</v>
    <v>387.9</v>
    <v>260.01889999999997</v>
    <v>1.0251999999999999</v>
    <v>-2.74</v>
    <v>1.7649999999999999E-3</v>
    <v>-8.5629999999999994E-3</v>
    <v>0.56000000000000005</v>
    <v>USD</v>
    <v>Cummins Inc. offers complementary business segments that design, manufacture, distribute and service a portfolio of power solutions. Its segments include Components, Engine, Distribution, Power Systems and Accelera. The Components segment sells axles, drivelines, brakes and suspension systems. The Engine segment produces engines and associated parts for sale to customers in on-highway and various off-highway markets. The Distribution segment includes distributorships engaged in wholesaling engines, generator sets, service parts, performing service and repair activities. The Power Systems segment is an integrated power provider, which designs, manufactures and sells engines for industrial applications, standby and prime power generator sets, alternators and others. The Accelera segment designs, manufactures, sells and supports hydrogen production technologies as well as electrified power systems. It sells products to OEMs, distributors, dealers and other customers worldwide.</v>
    <v>69600</v>
    <v>New York Stock Exchange</v>
    <v>XNYS</v>
    <v>XNYS</v>
    <v>500 JACKSON ST, BOX 3005 MAIL CODE 93050, COLUMBUS, IN, 47202-3005 US</v>
    <v>318.60660000000001</v>
    <v>Automobiles &amp; Auto Parts</v>
    <v>Stock</v>
    <v>45800.958333356248</v>
    <v>200</v>
    <v>311.02999999999997</v>
    <v>43682570000</v>
    <v>CUMMINS INC.</v>
    <v>CUMMINS INC.</v>
    <v>314.92</v>
    <v>15.9146</v>
    <v>319.97000000000003</v>
    <v>317.23</v>
    <v>317.79000000000002</v>
    <v>137700000</v>
    <v>CMI</v>
    <v>CUMMINS INC. (XNYS:CMI)</v>
    <v>507753</v>
    <v>873010</v>
    <v>1919</v>
  </rv>
  <rv s="4">
    <v>201</v>
  </rv>
  <rv s="0">
    <v>http://en.wikipedia.org/wiki/Ford_Motor_Company</v>
    <v>Wikipedia</v>
  </rv>
  <rv s="1">
    <v>0</v>
    <v>203</v>
  </rv>
  <rv s="2">
    <v>6</v>
    <v>https://www.bing.com/th?id=AMMS_cf0311a5f2d2dcb3110aca1404330618&amp;qlt=95</v>
    <v>204</v>
    <v>0</v>
    <v>https://www.bing.com/images/search?form=xlimg&amp;q=ford+motor+company</v>
    <v>Image of FORD MOTOR COMPANY</v>
  </rv>
  <rv s="0">
    <v>https://www.bing.com/financeapi/forcetrigger?t=a1sjw7&amp;q=XNYS%3aF&amp;form=skydnc</v>
    <v>Learn more on Bing</v>
  </rv>
  <rv s="3">
    <v>en-CA</v>
    <v>a1sjw7</v>
    <v>268435456</v>
    <v>1</v>
    <v>Powered by Refinitiv</v>
    <v>0</v>
    <v>FORD MOTOR COMPANY (XNYS:F)</v>
    <v>3</v>
    <v>4</v>
    <v>Finance</v>
    <v>5</v>
    <v>14.615</v>
    <v>8.4405999999999999</v>
    <v>1.5139</v>
    <v>-0.08</v>
    <v>9.653000000000001E-4</v>
    <v>-7.6629999999999997E-3</v>
    <v>0.01</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10.41</v>
    <v>205</v>
    <v>Automobiles &amp; Auto Parts</v>
    <v>Stock</v>
    <v>45800.999786851564</v>
    <v>206</v>
    <v>10.29</v>
    <v>41197050000</v>
    <v>FORD MOTOR COMPANY</v>
    <v>FORD MOTOR COMPANY</v>
    <v>10.3</v>
    <v>8.3691999999999993</v>
    <v>10.44</v>
    <v>10.36</v>
    <v>10.37</v>
    <v>3976549000</v>
    <v>F</v>
    <v>FORD MOTOR COMPANY (XNYS:F)</v>
    <v>80519024</v>
    <v>99679056</v>
    <v>1919</v>
  </rv>
  <rv s="4">
    <v>207</v>
  </rv>
  <rv s="0">
    <v>https://www.bing.com/financeapi/forcetrigger?t=a1u4fr&amp;q=XNYS%3aGPC&amp;form=skydnc</v>
    <v>Learn more on Bing</v>
  </rv>
  <rv s="5">
    <v>en-CA</v>
    <v>a1u4fr</v>
    <v>268435456</v>
    <v>1</v>
    <v>Powered by Refinitiv</v>
    <v>7</v>
    <v>GENUINE PARTS COMPANY (XNYS:GPC)</v>
    <v>8</v>
    <v>9</v>
    <v>Finance</v>
    <v>5</v>
    <v>149.22</v>
    <v>104.01</v>
    <v>0.77380000000000004</v>
    <v>-0.68</v>
    <v>1.4182999999999999E-2</v>
    <v>-5.359E-3</v>
    <v>1.79</v>
    <v>USD</v>
    <v>Genuine Parts Company is a global service provider of automotive and industrial replacement parts and value-added solutions. The Company’s segments include Automotive Parts Group (Automotive) and Industrial Parts Group (Industrial). The Automotive segment distributes replacement parts (other than collision parts) for all makes and models of automobiles, trucks, and other vehicles in North America, Europe and Australasia. Its main automotive customers are repair and maintenance shops, and its main industrial customers are businesses operating distribution, manufacturing and production equipment. The Industrial segment distributes a wide variety of industrial bearings, mechanical and fluid power transmission equipment, including hydraulic and pneumatic products, material handling components and related parts and supplies. Its industrial business offers replacement parts and solutions to maintenance, repair and operation (MRO) customers and original equipment manufacturer (OEM) customers.</v>
    <v>63000</v>
    <v>New York Stock Exchange</v>
    <v>XNYS</v>
    <v>XNYS</v>
    <v>2999 Wildwood Parkway, ATLANTA, GA, 30339 US</v>
    <v>126.71</v>
    <v>Automobiles &amp; Auto Parts</v>
    <v>Stock</v>
    <v>45800.958333344533</v>
    <v>209</v>
    <v>124.57</v>
    <v>17516640000</v>
    <v>GENUINE PARTS COMPANY</v>
    <v>GENUINE PARTS COMPANY</v>
    <v>124.94</v>
    <v>20.839099999999998</v>
    <v>126.89</v>
    <v>126.21</v>
    <v>128</v>
    <v>138789600</v>
    <v>GPC</v>
    <v>GENUINE PARTS COMPANY (XNYS:GPC)</v>
    <v>978633</v>
    <v>1394698</v>
    <v>1928</v>
  </rv>
  <rv s="4">
    <v>210</v>
  </rv>
  <rv s="0">
    <v>https://www.bing.com/financeapi/forcetrigger?t=awagjc&amp;q=XNYS%3aAPTV&amp;form=skydnc</v>
    <v>Learn more on Bing</v>
  </rv>
  <rv s="5">
    <v>en-CA</v>
    <v>awagjc</v>
    <v>268435456</v>
    <v>1</v>
    <v>Powered by Refinitiv</v>
    <v>7</v>
    <v>APTIV PLC (XNYS:APTV)</v>
    <v>8</v>
    <v>9</v>
    <v>Finance</v>
    <v>5</v>
    <v>85.35</v>
    <v>47.19</v>
    <v>1.4628000000000001</v>
    <v>-0.91</v>
    <v>0</v>
    <v>-1.3587999999999999E-2</v>
    <v>0</v>
    <v>USD</v>
    <v>Aptiv PLC is a global technology company that develops connected solutions enabling a more sustainable future of mobility. The Company delivers end-to-end mobility solutions enabling its customers’ transition to more electrified, software-defined vehicles. The Company’s segments include Signal and Power Solutions and Advanced Safety and User Experience. The Signal and Power Solutions segment includes complete electrical architecture and component products. The Advanced Safety and User Experience segment includes vehicle technology and services in advanced safety, user experience and smart vehicle compute and software, as well as cloud-native software platforms, autonomous driving technologies and DevOps tools. It designs and manufactures vehicle components and provides electrical, electronic and active safety technology solutions to the global automotive and commercial vehicle markets. It operates manufacturing facilities and technical centers utilizing a regional service model.</v>
    <v>141000</v>
    <v>New York Stock Exchange</v>
    <v>XNYS</v>
    <v>XNYS</v>
    <v>Spitalstrasse 5, SCHAFFHAUSEN, SCHAFFHAUSEN, 8200 CH</v>
    <v>66.44</v>
    <v>Automobiles &amp; Auto Parts</v>
    <v>Stock</v>
    <v>45800.958333367969</v>
    <v>212</v>
    <v>64.126300000000001</v>
    <v>14383280000</v>
    <v>APTIV PLC</v>
    <v>APTIV PLC</v>
    <v>64.75</v>
    <v>11.0982</v>
    <v>66.97</v>
    <v>66.06</v>
    <v>66.06</v>
    <v>217730500</v>
    <v>APTV</v>
    <v>APTIV PLC (XNYS:APTV)</v>
    <v>1530815</v>
    <v>2296189</v>
    <v>2024</v>
  </rv>
  <rv s="4">
    <v>213</v>
  </rv>
  <rv s="0">
    <v>https://www.bing.com/financeapi/forcetrigger?t=a1wy1h&amp;q=XNAS%3aLKQ&amp;form=skydnc</v>
    <v>Learn more on Bing</v>
  </rv>
  <rv s="5">
    <v>en-CA</v>
    <v>a1wy1h</v>
    <v>268435456</v>
    <v>1</v>
    <v>Powered by Refinitiv</v>
    <v>7</v>
    <v>LKQ CORPORATION (XNAS:LKQ)</v>
    <v>8</v>
    <v>9</v>
    <v>Finance</v>
    <v>5</v>
    <v>46.64</v>
    <v>35.56</v>
    <v>0.97819999999999996</v>
    <v>-0.32</v>
    <v>7.7130000000000002E-3</v>
    <v>-7.8989999999999998E-3</v>
    <v>0.31</v>
    <v>USD</v>
    <v>LKQ Corporation is a provider of alternative and specialty parts to repair and accessorize automobiles and other vehicles. Its vehicle products include replacement parts, components and systems used in the repair and maintenance of vehicles, and specialty aftermarket products and accessories to improve the performance, functionality and appearance of vehicles. Its segments include Wholesale - North America, Europe, Specialty and Self Service. Wholesale - North America segment consists of aftermarket and salvage operations, sells five product types of aftermarkets, original equipment manufacturer (OEM) recycled, OEM remanufactured, OEM refurbished and, to a lesser extent, new OEM parts. Europe segment provides alternative vehicle replacement and maintenance products. Specialty segment serves trucks and off-road; speed and performance; recreational vehicles; towing; wheels, tires, and performance handling, and others. Self Service segment operates self-service retail facilities.</v>
    <v>47000</v>
    <v>Nasdaq Stock Market</v>
    <v>XNAS</v>
    <v>XNAS</v>
    <v>5846 CROSSINGS BLVD., ANTIOCH, TN, 37013 US</v>
    <v>40.375</v>
    <v>Automobiles &amp; Auto Parts</v>
    <v>Stock</v>
    <v>45800.967303738282</v>
    <v>215</v>
    <v>39.619999999999997</v>
    <v>10374960000</v>
    <v>LKQ CORPORATION</v>
    <v>LKQ CORPORATION</v>
    <v>39.880000000000003</v>
    <v>15.140700000000001</v>
    <v>40.51</v>
    <v>40.19</v>
    <v>40.5</v>
    <v>258147700</v>
    <v>LKQ</v>
    <v>LKQ CORPORATION (XNAS:LKQ)</v>
    <v>1812421</v>
    <v>2362679</v>
    <v>1998</v>
  </rv>
  <rv s="4">
    <v>216</v>
  </rv>
  <rv s="0">
    <v>https://www.bing.com/financeapi/forcetrigger?t=a1p18m&amp;q=XNYS%3aBWA&amp;form=skydnc</v>
    <v>Learn more on Bing</v>
  </rv>
  <rv s="5">
    <v>en-CA</v>
    <v>a1p18m</v>
    <v>268435456</v>
    <v>1</v>
    <v>Powered by Refinitiv</v>
    <v>7</v>
    <v>BORGWARNER INC. (XNYS:BWA)</v>
    <v>8</v>
    <v>9</v>
    <v>Finance</v>
    <v>5</v>
    <v>37.29</v>
    <v>24.4</v>
    <v>1.0892999999999999</v>
    <v>-0.28000000000000003</v>
    <v>0</v>
    <v>-8.4950000000000008E-3</v>
    <v>0</v>
    <v>USD</v>
    <v>BorgWarner Inc. is engaged in clean technology solutions for combustion, hybrid and electric vehicles. The Company operates in four segments. The Turbos &amp; Thermal Technologies’ technologies include turbochargers, e-boosters, e-turbos, emissions systems, thermal systems, gasoline ignition technology, smart remote actuators, powertrain sensors, among others. The Drivetrain &amp; Morse Systems segment’s products include control modules, friction and mechanical clutch products for automatic transmissions, torque-management products and rear-wheel drive (RWD) and all-wheel drive (AWD) transfer case systems and coupling systems. The PowerDrive Systems segment’s products include power electronics such as inverters, onboard chargers, DC/DC converters and combination boxes, and others. The Battery &amp; Charging Systems segment’s products include lithium-ion battery systems for electrified bus, truck and off-highway applications and DC fast chargers suitable for all types of electric vehicles.</v>
    <v>38300</v>
    <v>New York Stock Exchange</v>
    <v>XNYS</v>
    <v>XNYS</v>
    <v>3850 Hamlin Rd, AUBURN HILLS, MI, 48326 US</v>
    <v>32.744999999999997</v>
    <v>Automobiles &amp; Auto Parts</v>
    <v>Stock</v>
    <v>45800.958333356248</v>
    <v>218</v>
    <v>32.130000000000003</v>
    <v>7180451000</v>
    <v>BORGWARNER INC.</v>
    <v>BORGWARNER INC.</v>
    <v>32.33</v>
    <v>24.8522</v>
    <v>32.96</v>
    <v>32.68</v>
    <v>32.68</v>
    <v>219720000</v>
    <v>BWA</v>
    <v>BORGWARNER INC. (XNYS:BWA)</v>
    <v>2254294</v>
    <v>2205691</v>
    <v>1987</v>
  </rv>
  <rv s="4">
    <v>219</v>
  </rv>
  <rv s="0">
    <v>https://www.bing.com/financeapi/forcetrigger?t=a1waa2&amp;q=XNYS%3aJPM&amp;form=skydnc</v>
    <v>Learn more on Bing</v>
  </rv>
  <rv s="5">
    <v>en-CA</v>
    <v>a1waa2</v>
    <v>268435456</v>
    <v>1</v>
    <v>Powered by Refinitiv</v>
    <v>7</v>
    <v>JPMORGAN CHASE &amp; CO. (XNYS:JPM)</v>
    <v>8</v>
    <v>9</v>
    <v>Finance</v>
    <v>5</v>
    <v>280.25</v>
    <v>190.88</v>
    <v>1.0814999999999999</v>
    <v>0.04</v>
    <v>-1.9559999999999998E-3</v>
    <v>1.5350000000000002E-4</v>
    <v>-0.51</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318477</v>
    <v>New York Stock Exchange</v>
    <v>XNYS</v>
    <v>XNYS</v>
    <v>383 Madison Avenue, NEW YORK, NY, 10179-0001 US</v>
    <v>261.99</v>
    <v>Banking Services</v>
    <v>Stock</v>
    <v>45800.999933286716</v>
    <v>221</v>
    <v>256.00009999999997</v>
    <v>724537800000</v>
    <v>JPMORGAN CHASE &amp; CO.</v>
    <v>JPMORGAN CHASE &amp; CO.</v>
    <v>256.81</v>
    <v>12.7943</v>
    <v>260.67</v>
    <v>260.70999999999998</v>
    <v>260.2</v>
    <v>2779094000</v>
    <v>JPM</v>
    <v>JPMORGAN CHASE &amp; CO. (XNYS:JPM)</v>
    <v>6671841</v>
    <v>8707967</v>
    <v>1968</v>
  </rv>
  <rv s="4">
    <v>222</v>
  </rv>
  <rv s="0">
    <v>https://www.bing.com/financeapi/forcetrigger?t=a1o4sm&amp;q=XNYS%3aBAC&amp;form=skydnc</v>
    <v>Learn more on Bing</v>
  </rv>
  <rv s="5">
    <v>en-CA</v>
    <v>a1o4sm</v>
    <v>268435456</v>
    <v>1</v>
    <v>Powered by Refinitiv</v>
    <v>7</v>
    <v>BANK OF AMERICA CORPORATION (XNYS:BAC)</v>
    <v>8</v>
    <v>9</v>
    <v>Finance</v>
    <v>5</v>
    <v>48.08</v>
    <v>33.064999999999998</v>
    <v>1.3013999999999999</v>
    <v>-0.11</v>
    <v>-4.6300000000000003E-4</v>
    <v>-2.5400000000000002E-3</v>
    <v>-0.02</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43.43</v>
    <v>Banking Services</v>
    <v>Stock</v>
    <v>45800.99967898125</v>
    <v>224</v>
    <v>42.35</v>
    <v>325377100000</v>
    <v>BANK OF AMERICA CORPORATION</v>
    <v>BANK OF AMERICA CORPORATION</v>
    <v>42.48</v>
    <v>12.930199999999999</v>
    <v>43.31</v>
    <v>43.2</v>
    <v>43.18</v>
    <v>7531876000</v>
    <v>BAC</v>
    <v>BANK OF AMERICA CORPORATION (XNYS:BAC)</v>
    <v>34875060</v>
    <v>39483110</v>
    <v>1998</v>
  </rv>
  <rv s="4">
    <v>225</v>
  </rv>
  <rv s="0">
    <v>https://www.bing.com/financeapi/forcetrigger?t=a25tgh&amp;q=XNYS%3aWFC&amp;form=skydnc</v>
    <v>Learn more on Bing</v>
  </rv>
  <rv s="5">
    <v>en-CA</v>
    <v>a25tgh</v>
    <v>268435456</v>
    <v>1</v>
    <v>Powered by Refinitiv</v>
    <v>7</v>
    <v>WELLS FARGO &amp; COMPANY (XNYS:WFC)</v>
    <v>8</v>
    <v>9</v>
    <v>Finance</v>
    <v>5</v>
    <v>81.5</v>
    <v>50.15</v>
    <v>1.1548</v>
    <v>-0.56000000000000005</v>
    <v>-6.8650000000000004E-4</v>
    <v>-7.6300000000000005E-3</v>
    <v>-0.05</v>
    <v>USD</v>
    <v>Wells Fargo &amp; Company is a financial services company. The Company provides a diversified set of banking, investment and mortgage products and services, as well as consumer and commercial finance, to individuals, businesses and institutions. The Company operates through four segments: Consumer Banking and Lending, Commercial Banking, Corporate and Investment Banking, and Wealth &amp; Investment Management. The Company provides consumer financial products and services, including checking and savings accounts, credit and debit cards, and auto, residential mortgage, and small business lending. In addition, the Company offers financial planning, private banking, investment management, and fiduciary services. It also provides financial solutions to businesses through products and services including traditional commercial loans and lines of credit, letters of credit, asset-based lending and leasing, trade financing, treasury management, and investment banking services.</v>
    <v>215367</v>
    <v>New York Stock Exchange</v>
    <v>XNYS</v>
    <v>XNYS</v>
    <v>420 Montgomery Street, SAN FRANCISCO, CA, 94104 US</v>
    <v>73.186000000000007</v>
    <v>Banking Services</v>
    <v>Stock</v>
    <v>45800.99801471016</v>
    <v>227</v>
    <v>71.894999999999996</v>
    <v>237002100000</v>
    <v>WELLS FARGO &amp; COMPANY</v>
    <v>WELLS FARGO &amp; COMPANY</v>
    <v>71.894999999999996</v>
    <v>13.1785</v>
    <v>73.39</v>
    <v>72.83</v>
    <v>72.78</v>
    <v>3254182000</v>
    <v>WFC</v>
    <v>WELLS FARGO &amp; COMPANY (XNYS:WFC)</v>
    <v>9260881</v>
    <v>16885376</v>
    <v>1929</v>
  </rv>
  <rv s="4">
    <v>228</v>
  </rv>
  <rv s="0">
    <v>https://www.bing.com/financeapi/forcetrigger?t=a1o2lh&amp;q=XNYS%3aAXP&amp;form=skydnc</v>
    <v>Learn more on Bing</v>
  </rv>
  <rv s="5">
    <v>en-CA</v>
    <v>a1o2lh</v>
    <v>268435456</v>
    <v>1</v>
    <v>Powered by Refinitiv</v>
    <v>7</v>
    <v>AMERICAN EXPRESS COMPANY (XNYS:AXP)</v>
    <v>8</v>
    <v>9</v>
    <v>Finance</v>
    <v>5</v>
    <v>326.27499999999998</v>
    <v>220.43</v>
    <v>1.2470000000000001</v>
    <v>-1.96</v>
    <v>-2.5240000000000002E-3</v>
    <v>-6.8250000000000003E-3</v>
    <v>-0.72</v>
    <v>USD</v>
    <v>American Express Company is a globally integrated payments company with card-issuing, merchant-acquiring and card network businesses. It offers products and services to a range of customers, including consumers, small businesses, mid-sized companies and large corporations around the world. Its segments include U.S. Consumer Services (USCS), Commercial Services (CS), International Card Services (ICS) and Global Merchant and Network Services (GMNS). USCS offers travel and lifestyle services as well as banking and non-card financing products. CS offers payment and expense management, banking and non-card financing products. ICS provides services to international customers, including travel and lifestyle services, and manages certain international joint ventures and its loyalty coalition business. GMNS operates a payments network that processes and settles card transactions, acquires merchants and provides multichannel marketing programs and capabilities, services and data analytics.</v>
    <v>75100</v>
    <v>New York Stock Exchange</v>
    <v>XNYS</v>
    <v>XNYS</v>
    <v>200 Vesey Street, 50Th Floor, NEW YORK, NY, 10285 US</v>
    <v>287.10000000000002</v>
    <v>Banking Services</v>
    <v>Stock</v>
    <v>45800.99775280078</v>
    <v>230</v>
    <v>281.46499999999997</v>
    <v>199822000000</v>
    <v>AMERICAN EXPRESS COMPANY</v>
    <v>AMERICAN EXPRESS COMPANY</v>
    <v>281.82</v>
    <v>20.0548</v>
    <v>287.18</v>
    <v>285.22000000000003</v>
    <v>284.5</v>
    <v>700588900</v>
    <v>AXP</v>
    <v>AMERICAN EXPRESS COMPANY (XNYS:AXP)</v>
    <v>1724244</v>
    <v>2832655</v>
    <v>1965</v>
  </rv>
  <rv s="4">
    <v>231</v>
  </rv>
  <rv s="0">
    <v>https://www.bing.com/financeapi/forcetrigger?t=a21277&amp;q=XNYS%3aPNC&amp;form=skydnc</v>
    <v>Learn more on Bing</v>
  </rv>
  <rv s="5">
    <v>en-CA</v>
    <v>a21277</v>
    <v>268435456</v>
    <v>1</v>
    <v>Powered by Refinitiv</v>
    <v>7</v>
    <v>THE PNC FINANCIAL SERVICES GROUP, INC. (XNYS:PNC)</v>
    <v>8</v>
    <v>9</v>
    <v>Finance</v>
    <v>5</v>
    <v>216.26</v>
    <v>145.12</v>
    <v>1.0634999999999999</v>
    <v>-1.17</v>
    <v>2.735E-3</v>
    <v>-6.7629999999999999E-3</v>
    <v>0.47</v>
    <v>USD</v>
    <v>The PNC Financial Services Group, Inc. is a diversified financial services company in the United States. It is engaged in the delivery of retail and business banking, including a full range of lending products; specialized services for corporations and government entities, including corporate banking, real estate finance and asset-based lending; wealth management and asset management. Its Retail Banking segment provides deposit, lending, brokerage, insurance services, investment management and cash management products and services to consumer and small business customers. Its Corporate &amp; Institutional Banking segment provides lending, treasury management, capital markets and advisory products and services to mid-sized and large corporations and government and not-for-profit entities. Its Asset Management Group segment provides private banking for high-net worth and ultra-high net worth clients and institutional asset management. The Company's bank subsidiary is PNC Bank.</v>
    <v>53468</v>
    <v>New York Stock Exchange</v>
    <v>XNYS</v>
    <v>XNYS</v>
    <v>The Tower At Pnc Plaza, 300 Fifth Avenue, PITTSBURGH, PA, 15222-2401 US</v>
    <v>172.63</v>
    <v>Banking Services</v>
    <v>Stock</v>
    <v>45800.958333344533</v>
    <v>233</v>
    <v>169.32</v>
    <v>67966320000</v>
    <v>THE PNC FINANCIAL SERVICES GROUP, INC.</v>
    <v>THE PNC FINANCIAL SERVICES GROUP, INC.</v>
    <v>169.75</v>
    <v>12.2211</v>
    <v>172.99</v>
    <v>171.82</v>
    <v>172.29</v>
    <v>395567000</v>
    <v>PNC</v>
    <v>THE PNC FINANCIAL SERVICES GROUP, INC. (XNYS:PNC)</v>
    <v>1641637</v>
    <v>2102255</v>
    <v>1983</v>
  </rv>
  <rv s="4">
    <v>234</v>
  </rv>
  <rv s="0">
    <v>https://www.bing.com/financeapi/forcetrigger?t=a251gh&amp;q=XNYS%3aUSB&amp;form=skydnc</v>
    <v>Learn more on Bing</v>
  </rv>
  <rv s="5">
    <v>en-CA</v>
    <v>a251gh</v>
    <v>268435456</v>
    <v>1</v>
    <v>Powered by Refinitiv</v>
    <v>7</v>
    <v>U.S. BANCORP (XNYS:USB)</v>
    <v>8</v>
    <v>9</v>
    <v>Finance</v>
    <v>5</v>
    <v>53.98</v>
    <v>35.18</v>
    <v>1.0149999999999999</v>
    <v>-0.18</v>
    <v>-4.6580000000000005E-4</v>
    <v>-4.1739999999999998E-3</v>
    <v>-0.02</v>
    <v>USD</v>
    <v>U.S. Bancorp is a financial services holding company. Its segments are Wealth, Corporate, Commercial and Institutional Banking, Consumer and Business Banking, Payment Services, and Treasury and Corporate Support. It provides a full range of financial services, including lending and depository services, cash management, capital markets, and trust and investment management services. It also engages in credit card services, merchant and ATM processing, mortgage banking, insurance, brokerage and leasing. Its banking subsidiary, U.S. Bank National Association (USBNA), is engaged in the banking business, principally in domestic markets. USBNA provides a range of products and services to individuals, businesses, institutional organizations, governmental entities and other financial institutions. Its non-banking subsidiaries offer investment and insurance products to its customers principally within its domestic markets, and fund administration services to a range of mutual and other funds.</v>
    <v>70263</v>
    <v>New York Stock Exchange</v>
    <v>XNYS</v>
    <v>XNYS</v>
    <v>800 Nicollet Mall, MINNEAPOLIS, MN, 55402-7020 US</v>
    <v>43.11</v>
    <v>Banking Services</v>
    <v>Stock</v>
    <v>45800.999675728905</v>
    <v>236</v>
    <v>42.21</v>
    <v>66901700000</v>
    <v>U.S. BANCORP</v>
    <v>U.S. BANCORP</v>
    <v>42.22</v>
    <v>10.6709</v>
    <v>43.12</v>
    <v>42.94</v>
    <v>42.92</v>
    <v>1558028000</v>
    <v>USB</v>
    <v>U.S. BANCORP (XNYS:USB)</v>
    <v>5798567</v>
    <v>8135860</v>
    <v>1929</v>
  </rv>
  <rv s="4">
    <v>237</v>
  </rv>
  <rv s="0">
    <v>https://www.bing.com/financeapi/forcetrigger?t=a1q3jc&amp;q=XNYS%3aCOF&amp;form=skydnc</v>
    <v>Learn more on Bing</v>
  </rv>
  <rv s="5">
    <v>en-CA</v>
    <v>a1q3jc</v>
    <v>268435456</v>
    <v>1</v>
    <v>Powered by Refinitiv</v>
    <v>7</v>
    <v>CAPITAL ONE FINANCIAL CORPORATION (XNYS:COF)</v>
    <v>8</v>
    <v>9</v>
    <v>Finance</v>
    <v>5</v>
    <v>210.67</v>
    <v>128.22499999999999</v>
    <v>1.1312</v>
    <v>-2.88</v>
    <v>-3.1340000000000001E-3</v>
    <v>-1.5322000000000001E-2</v>
    <v>-0.57999999999999996</v>
    <v>USD</v>
    <v>Capital One Financial Corporation is a diversified financial services holding company with banking and non-banking subsidiaries. The Company offers a broad spectrum of financial products and services to consumers, small businesses and commercial clients through a variety of channels. It operates through three segments: Credit Card, Consumer Banking and Commercial Banking. The Credit Card segment consists of its domestic consumer and small business card lending, and international card businesses in the United Kingdom and Canada. The Consumer Banking segment consists of its deposit gathering and lending activities for consumers and small businesses, and national auto lending. The Commercial Banking segment consists of its lending, deposit gathering, capital markets and treasury management services to commercial real estate and commercial and industrial customers. Its principal operating subsidiary is Capital One, National Association, which offers banking products and financial services.</v>
    <v>53900</v>
    <v>New York Stock Exchange</v>
    <v>XNYS</v>
    <v>XNYS</v>
    <v>1680 Capital One Drive, MCLEAN, VA, 22102 US</v>
    <v>186.47569999999999</v>
    <v>Banking Services</v>
    <v>Stock</v>
    <v>45800.99997168906</v>
    <v>239</v>
    <v>183.38</v>
    <v>118476700000</v>
    <v>CAPITAL ONE FINANCIAL CORPORATION</v>
    <v>CAPITAL ONE FINANCIAL CORPORATION</v>
    <v>183.57</v>
    <v>15.793200000000001</v>
    <v>187.96</v>
    <v>185.08</v>
    <v>184.5</v>
    <v>640137600</v>
    <v>COF</v>
    <v>CAPITAL ONE FINANCIAL CORPORATION (XNYS:COF)</v>
    <v>6580625</v>
    <v>5738058</v>
    <v>1994</v>
  </rv>
  <rv s="4">
    <v>240</v>
  </rv>
  <rv s="0">
    <v>https://www.bing.com/financeapi/forcetrigger?t=a1o8mw&amp;q=XNYS%3aTFC&amp;form=skydnc</v>
    <v>Learn more on Bing</v>
  </rv>
  <rv s="6">
    <v>en-CA</v>
    <v>a1o8mw</v>
    <v>268435456</v>
    <v>1</v>
    <v>Powered by Refinitiv</v>
    <v>10</v>
    <v>Truist Financial Corporation (XNYS:TFC)</v>
    <v>8</v>
    <v>11</v>
    <v>Finance</v>
    <v>5</v>
    <v>49.055</v>
    <v>33.56</v>
    <v>0.81989999999999996</v>
    <v>-0.21</v>
    <v>-6.8739999999999999E-3</v>
    <v>-5.3180000000000007E-3</v>
    <v>-0.27</v>
    <v>USD</v>
    <v>Truist Financial Corporation is a financial services company. As a commercial bank, it offers a range of products and services through its wholesale and consumer businesses, including consumer and small business banking, commercial banking, corporate and investment banking, wealth management, payments, and specialized lending businesses. Its segments include Consumer and Small Business Banking (CSBB) and Wholesale Banking (WB). CSBB segment serves retail, premier, and small business clients, providing transaction, money market, savings, time deposits and payment services, credit cards, loans, and mortgages through digital banking, a network of community banking branches, ATMs, virtual service centers, and other channels. WB segment provides a comprehensive set of products, solutions, and advisory services to commercial, corporate, institutional and wealth clients. It also invests in certain affordable housing, new market tax credit, and renewable energy tax credit investments.</v>
    <v>36769</v>
    <v>New York Stock Exchange</v>
    <v>XNYS</v>
    <v>XNYS</v>
    <v>214 North Tryon Street, CHARLOTTE, NC, 28202 US</v>
    <v>39.39</v>
    <v>Banking Services</v>
    <v>Stock</v>
    <v>45800.991695126562</v>
    <v>242</v>
    <v>38.270600000000002</v>
    <v>51438690000</v>
    <v>Truist Financial Corporation</v>
    <v>Truist Financial Corporation</v>
    <v>38.5</v>
    <v>39.49</v>
    <v>39.28</v>
    <v>39.01</v>
    <v>1309539000</v>
    <v>TFC</v>
    <v>Truist Financial Corporation (XNYS:TFC)</v>
    <v>7395063</v>
    <v>8303708</v>
    <v>1968</v>
  </rv>
  <rv s="4">
    <v>243</v>
  </rv>
  <rv s="0">
    <v>https://www.bing.com/financeapi/forcetrigger?t=a1qyk2&amp;q=XNYS%3aDFS&amp;form=skydnc</v>
    <v>Learn more on Bing</v>
  </rv>
  <rv s="5">
    <v>en-CA</v>
    <v>a1qyk2</v>
    <v>268435456</v>
    <v>1</v>
    <v>Powered by Refinitiv</v>
    <v>7</v>
    <v>DISCOVER FINANCIAL SERVICES (XNYS:DFS)</v>
    <v>8</v>
    <v>9</v>
    <v>Finance</v>
    <v>5</v>
    <v>207.42</v>
    <v>119.95</v>
    <v>1.1363000000000001</v>
    <v>0</v>
    <v>-9.7479999999999997E-3</v>
    <v>0</v>
    <v>-1.95</v>
    <v>USD</v>
    <v>Discover Financial Services is a digital banking and payment services company. The Company is a bank holding company, as well as a financial holding company. The Company operates through two segments: Digital Banking and Payment Services. The Digital Banking segment includes consumer banking and lending products, specifically Discover-branded credit cards issued to individuals on the Discover Network and other consumer banking products and services, including personal loans, home loans and deposit products. The Payment Services segment includes PULSE, Diners Club and its Network Partners business, which provides payment transaction processing and settlement, merchant acquisition, ATM access and related payments services on the Discover Global Network. Its Diners Club business maintains a global acceptance network through its relationships with licensees. Its processing services cover four functional areas: card personalization, print/mail, remittance processing and item processing.</v>
    <v>21000</v>
    <v>New York Stock Exchange</v>
    <v>XNYS</v>
    <v>XNYS</v>
    <v>2500 Lake Cook Rd, RIVERWOODS, IL, 60015 US</v>
    <v>203.02</v>
    <v>Banking Services</v>
    <v>Stock</v>
    <v>45793.999555520313</v>
    <v>245</v>
    <v>198.7</v>
    <v>50343260000</v>
    <v>DISCOVER FINANCIAL SERVICES</v>
    <v>DISCOVER FINANCIAL SERVICES</v>
    <v>200.55</v>
    <v>10.707100000000001</v>
    <v>200.48</v>
    <v>200.05</v>
    <v>198.1</v>
    <v>251653400</v>
    <v>DFS</v>
    <v>DISCOVER FINANCIAL SERVICES (XNYS:DFS)</v>
    <v>31292360</v>
    <v>2138021</v>
    <v>1960</v>
  </rv>
  <rv s="4">
    <v>246</v>
  </rv>
  <rv s="0">
    <v>https://www.bing.com/financeapi/forcetrigger?t=a1y1w7&amp;q=XNYS%3aMTB&amp;form=skydnc</v>
    <v>Learn more on Bing</v>
  </rv>
  <rv s="5">
    <v>en-CA</v>
    <v>a1y1w7</v>
    <v>268435456</v>
    <v>1</v>
    <v>Powered by Refinitiv</v>
    <v>7</v>
    <v>M&amp;T BANK CORPORATION (XNYS:MTB)</v>
    <v>8</v>
    <v>9</v>
    <v>Finance</v>
    <v>5</v>
    <v>225.7</v>
    <v>139.7801</v>
    <v>0.60160000000000002</v>
    <v>-1.17</v>
    <v>1.449E-3</v>
    <v>-6.4780000000000003E-3</v>
    <v>0.26</v>
    <v>USD</v>
    <v>M&amp;T Bank Corporation is a financial holding company. The Company’s principal banking subsidiary, M&amp;T Bank, provides banking products and services with a branch and ATM network spanning the eastern United States from Maine to Virginia and Washington, D.C. Trust-related services are provided in select markets in the United States and abroad by its Wilmington Trust-affiliated companies and by M&amp;T Bank. Its segments include Commercial Bank, Retail Bank and Institutional Services and Wealth Management. The Commercial Bank segment provides a range of credit products and banking services to middle-market and large commercial customers, mainly within the markets served by the Company. The Retail Bank segment provides a wide range of services to consumers and small businesses through the Company’s branch network and several other delivery channels. The Institutional Services and Wealth Management segment provides a variety of trustee, agency, investment management and administrative services.</v>
    <v>22291</v>
    <v>New York Stock Exchange</v>
    <v>XNYS</v>
    <v>XNYS</v>
    <v>C/O Legal, One M&amp;T Plaza, BUFFALO, NY, 14203 US</v>
    <v>180.27</v>
    <v>Banking Services</v>
    <v>Stock</v>
    <v>45800.958333356248</v>
    <v>248</v>
    <v>177.11</v>
    <v>28803000000</v>
    <v>M&amp;T BANK CORPORATION</v>
    <v>M&amp;T BANK CORPORATION</v>
    <v>178.38499999999999</v>
    <v>12.0946</v>
    <v>180.61</v>
    <v>179.44</v>
    <v>179.7</v>
    <v>160516000</v>
    <v>MTB</v>
    <v>M&amp;T BANK CORPORATION (XNYS:MTB)</v>
    <v>1262206</v>
    <v>1073929</v>
    <v>1969</v>
  </rv>
  <rv s="4">
    <v>249</v>
  </rv>
  <rv s="0">
    <v>https://www.bing.com/financeapi/forcetrigger?t=a1sx7w&amp;q=XNAS%3aFITB&amp;form=skydnc</v>
    <v>Learn more on Bing</v>
  </rv>
  <rv s="5">
    <v>en-CA</v>
    <v>a1sx7w</v>
    <v>268435456</v>
    <v>1</v>
    <v>Powered by Refinitiv</v>
    <v>7</v>
    <v>FIFTH THIRD BANCORP (XNAS:FITB)</v>
    <v>8</v>
    <v>9</v>
    <v>Finance</v>
    <v>5</v>
    <v>49.07</v>
    <v>32.25</v>
    <v>0.91400000000000003</v>
    <v>-0.31</v>
    <v>-5.3759999999999997E-3</v>
    <v>-8.2640000000000005E-3</v>
    <v>-0.2</v>
    <v>USD</v>
    <v>Fifth Third Bancorp is a diversified financial services company and is the indirect holding company of Fifth Third Bank, National Association (the Bank). Its Commercial Banking segment offers credit intermediation, cash management and financial services to large and middle-market businesses and government and professional customers. Its Consumer and Small Business Banking segment provides a full range of deposit and loan products to individuals and small businesses through a network of full-service banking centers and relationships with indirect and correspondent loan originators, in addition to providing products designed to meet the specific needs of small businesses, including cash management services. Its Wealth and Asset Management segment provides a full range of wealth management solutions for individuals, companies and not-for-profit organizations, including wealth planning, investment management, banking, insurance, trust and estate services.</v>
    <v>18786</v>
    <v>Nasdaq Stock Market</v>
    <v>XNAS</v>
    <v>XNAS</v>
    <v>38 Fountain Sq Plz, Fifth Third Center, CINCINNATI, OH, 45263 US</v>
    <v>37.375</v>
    <v>Banking Services</v>
    <v>Stock</v>
    <v>45800.991963460154</v>
    <v>251</v>
    <v>36.64</v>
    <v>24830710000</v>
    <v>FIFTH THIRD BANCORP</v>
    <v>FIFTH THIRD BANCORP</v>
    <v>36.840000000000003</v>
    <v>11.900700000000001</v>
    <v>37.51</v>
    <v>37.200000000000003</v>
    <v>37</v>
    <v>667492200</v>
    <v>FITB</v>
    <v>FIFTH THIRD BANCORP (XNAS:FITB)</v>
    <v>2975061</v>
    <v>4147857</v>
    <v>1974</v>
  </rv>
  <rv s="4">
    <v>252</v>
  </rv>
  <rv s="0">
    <v>https://www.bing.com/financeapi/forcetrigger?t=a1ugim&amp;q=XNAS%3aHBAN&amp;form=skydnc</v>
    <v>Learn more on Bing</v>
  </rv>
  <rv s="5">
    <v>en-CA</v>
    <v>a1ugim</v>
    <v>268435456</v>
    <v>1</v>
    <v>Powered by Refinitiv</v>
    <v>7</v>
    <v>HUNTINGTON BANCSHARES INCORPORATED (XNAS:HBAN)</v>
    <v>8</v>
    <v>9</v>
    <v>Finance</v>
    <v>5</v>
    <v>18.445</v>
    <v>11.914999999999999</v>
    <v>0.94159999999999999</v>
    <v>-0.11</v>
    <v>-1.1096999999999999E-2</v>
    <v>-7.1289999999999999E-3</v>
    <v>-0.17</v>
    <v>USD</v>
    <v>Huntington Bancshares Incorporated is a diversified regional bank holding company. The Company, through its bank subsidiary, Huntington National Bank and its subsidiaries (the Bank), provides consumers, small and middle-market businesses, corporations, municipalities, and other organizations with a comprehensive suite of banking, payments, wealth management, and risk management products and services. Its Consumer &amp; Regional Banking segment provides an array of financial products and services to consumer and business customers, including deposits, lending, payments, mortgage banking, dealer financing, investment management, trust, brokerage, insurance, and other financial products and services. Its Commercial Banking segment provides expertise through bankers, capabilities, and digital channels, which include a comprehensive set of product offerings. Its target clients span from mid-market to large corporates across a national footprint.</v>
    <v>20092</v>
    <v>Nasdaq Stock Market</v>
    <v>XNAS</v>
    <v>XNAS</v>
    <v>Huntington Ctr, 41 S High St Hc0917, COLUMBUS, OH, 43287 US</v>
    <v>15.42</v>
    <v>Banking Services</v>
    <v>Stock</v>
    <v>45800.989163310158</v>
    <v>254</v>
    <v>15.06</v>
    <v>22321240000</v>
    <v>HUNTINGTON BANCSHARES INCORPORATED</v>
    <v>HUNTINGTON BANCSHARES INCORPORATED</v>
    <v>15.09</v>
    <v>11.872299999999999</v>
    <v>15.43</v>
    <v>15.32</v>
    <v>15.15</v>
    <v>1457000000</v>
    <v>HBAN</v>
    <v>HUNTINGTON BANCSHARES INCORPORATED (XNAS:HBAN)</v>
    <v>25782910</v>
    <v>19601553</v>
    <v>1966</v>
  </rv>
  <rv s="4">
    <v>255</v>
  </rv>
  <rv s="0">
    <v>https://www.bing.com/financeapi/forcetrigger?t=a23v7w&amp;q=XNYS%3aSYF&amp;form=skydnc</v>
    <v>Learn more on Bing</v>
  </rv>
  <rv s="5">
    <v>en-CA</v>
    <v>a23v7w</v>
    <v>268435456</v>
    <v>1</v>
    <v>Powered by Refinitiv</v>
    <v>7</v>
    <v>SYNCHRONY FINANCIAL (XNYS:SYF)</v>
    <v>8</v>
    <v>9</v>
    <v>Finance</v>
    <v>5</v>
    <v>70.930000000000007</v>
    <v>40.545000000000002</v>
    <v>1.4311</v>
    <v>-0.72</v>
    <v>4.5820000000000001E-3</v>
    <v>-1.2529999999999999E-2</v>
    <v>0.26</v>
    <v>USD</v>
    <v>Synchrony Financial is a consumer financial services company focused on delivering digitally enabled product suites. The Company provides a range of credit products through financing programs it has established with a diverse group of national and regional retailers, local merchants, manufacturers, buying groups, industry associations and healthcare service providers. It offers private label, dual card, co-brand, and general-purpose credit cards, as well as short- and long-term installment loans, and savings products through Synchrony Bank (the Bank). The Company primarily manages its credit products through five sales platforms such as Home &amp; Auto, Digital, Diversified &amp; Value, Health &amp; Wellness and Lifestyle. The Bank offers directly to retail, affinity relationships and commercial customers, a range of deposit products, including certificates of deposit, individual retirement accounts (IRAs), money market accounts, savings accounts and sweep and affinity deposits.</v>
    <v>20000</v>
    <v>New York Stock Exchange</v>
    <v>XNYS</v>
    <v>XNYS</v>
    <v>777 Long Ridge Rd, STAMFORD, CT, 06902-1250 US</v>
    <v>57.005000000000003</v>
    <v>Banking Services</v>
    <v>Stock</v>
    <v>45800.972197638279</v>
    <v>257</v>
    <v>55.67</v>
    <v>21598480000</v>
    <v>SYNCHRONY FINANCIAL</v>
    <v>SYNCHRONY FINANCIAL</v>
    <v>55.67</v>
    <v>7.8903999999999996</v>
    <v>57.46</v>
    <v>56.74</v>
    <v>57</v>
    <v>380657000</v>
    <v>SYF</v>
    <v>SYNCHRONY FINANCIAL (XNYS:SYF)</v>
    <v>2219148</v>
    <v>4196898</v>
    <v>2003</v>
  </rv>
  <rv s="4">
    <v>258</v>
  </rv>
  <rv s="0">
    <v>https://www.bing.com/financeapi/forcetrigger?t=a21wsm&amp;q=XNYS%3aRF&amp;form=skydnc</v>
    <v>Learn more on Bing</v>
  </rv>
  <rv s="5">
    <v>en-CA</v>
    <v>a21wsm</v>
    <v>268435456</v>
    <v>1</v>
    <v>Powered by Refinitiv</v>
    <v>7</v>
    <v>REGIONS FINANCIAL CORPORATION (XNYS:RF)</v>
    <v>8</v>
    <v>9</v>
    <v>Finance</v>
    <v>5</v>
    <v>27.96</v>
    <v>17.72</v>
    <v>0.98</v>
    <v>-0.13</v>
    <v>7.5329999999999998E-3</v>
    <v>-6.0829999999999999E-3</v>
    <v>0.16</v>
    <v>USD</v>
    <v>Regions Financial Corporation is a full-service provider of consumer and commercial banking, wealth management, and mortgage products and services. It serves customers across the South, Midwest and Texas, and through its subsidiary, Regions Bank, operates approximately 1,250 banking offices and more than 2,000 ATMs. Its segments include Corporate Bank, Consumer Bank and Wealth Management. The Corporate Bank segment represents its commercial banking functions, including commercial and industrial, commercial real estate and investor real estate lending. The Consumer Bank segment represents its branch network, including consumer banking products and services related to residential first mortgages, home equity lines and loans, consumer credit cards and other consumer loans, as well as the corresponding deposit relationships. The Wealth Management segment offers credit-related products, trust and investment management, asset management, retirement and savings solutions and estate planning.</v>
    <v>19541</v>
    <v>New York Stock Exchange</v>
    <v>XNYS</v>
    <v>XNYS</v>
    <v>1900 Fifth Avenue North, BIRMINGHAM, AL, 35203 US</v>
    <v>21.36</v>
    <v>Banking Services</v>
    <v>Stock</v>
    <v>45800.994256029684</v>
    <v>260</v>
    <v>20.81</v>
    <v>19093280000</v>
    <v>REGIONS FINANCIAL CORPORATION</v>
    <v>REGIONS FINANCIAL CORPORATION</v>
    <v>20.81</v>
    <v>10.320499999999999</v>
    <v>21.37</v>
    <v>21.24</v>
    <v>21.4</v>
    <v>898930200</v>
    <v>RF</v>
    <v>REGIONS FINANCIAL CORPORATION (XNYS:RF)</v>
    <v>5621572</v>
    <v>7203271</v>
    <v>2004</v>
  </rv>
  <rv s="4">
    <v>261</v>
  </rv>
  <rv s="0">
    <v>https://www.bing.com/financeapi/forcetrigger?t=a1pj4c&amp;q=XNYS%3aCFG&amp;form=skydnc</v>
    <v>Learn more on Bing</v>
  </rv>
  <rv s="5">
    <v>en-CA</v>
    <v>a1pj4c</v>
    <v>268435456</v>
    <v>1</v>
    <v>Powered by Refinitiv</v>
    <v>7</v>
    <v>CITIZENS FINANCIAL GROUP, INC. (XNYS:CFG)</v>
    <v>8</v>
    <v>9</v>
    <v>Finance</v>
    <v>5</v>
    <v>49.25</v>
    <v>32.6</v>
    <v>1.0706</v>
    <v>-0.2</v>
    <v>1.0867E-2</v>
    <v>-5.0290000000000005E-3</v>
    <v>0.43</v>
    <v>USD</v>
    <v>Citizens Financial Group, Inc. offers a range of retail and commercial banking products and services to individuals, small businesses, middle-market companies, large corporations and institutions. The Company operates through two segments: Consumer Banking and Commercial Banking. Consumer Banking segment serves consumer customers and small businesses, with products and services that include deposits, mortgage and home equity lending, credit cards, small business loans, wealth management and investment services largely across its 14-state traditional banking footprint. Consumer Banking segment operates approximately 1,000 branches, including 143 in-store locations, and approximately 3,100 ATMs. Commercial Banking segment primarily serves companies and institutions with financial products and solutions, including lending and leasing, deposit and treasury management services, foreign exchange, interest rate and commodity risk management solutions, as well as syndicated loans, and others.</v>
    <v>17315</v>
    <v>New York Stock Exchange</v>
    <v>XNYS</v>
    <v>XNYS</v>
    <v>1 CITIZENS PLAZA, PROVIDENCE, RI, 02903 US</v>
    <v>39.744999999999997</v>
    <v>Banking Services</v>
    <v>Stock</v>
    <v>45800.958333367969</v>
    <v>263</v>
    <v>38.795999999999999</v>
    <v>17318530000</v>
    <v>CITIZENS FINANCIAL GROUP, INC.</v>
    <v>CITIZENS FINANCIAL GROUP, INC.</v>
    <v>38.81</v>
    <v>12.657999999999999</v>
    <v>39.770000000000003</v>
    <v>39.57</v>
    <v>40</v>
    <v>437668100</v>
    <v>CFG</v>
    <v>CITIZENS FINANCIAL GROUP, INC. (XNYS:CFG)</v>
    <v>3461333</v>
    <v>4136361</v>
    <v>1984</v>
  </rv>
  <rv s="4">
    <v>264</v>
  </rv>
  <rv s="0">
    <v>https://www.bing.com/financeapi/forcetrigger?t=a1wh27&amp;q=XNYS%3aKEY&amp;form=skydnc</v>
    <v>Learn more on Bing</v>
  </rv>
  <rv s="6">
    <v>en-CA</v>
    <v>a1wh27</v>
    <v>268435456</v>
    <v>1</v>
    <v>Powered by Refinitiv</v>
    <v>10</v>
    <v>KEYCORP (XNYS:KEY)</v>
    <v>8</v>
    <v>11</v>
    <v>Finance</v>
    <v>5</v>
    <v>20.0395</v>
    <v>12.725</v>
    <v>1.0752999999999999</v>
    <v>-0.04</v>
    <v>1.2780000000000001E-3</v>
    <v>-2.5490000000000001E-3</v>
    <v>0.02</v>
    <v>USD</v>
    <v>KeyCorp is a bank-based financial services company, which operates through its subsidiary, KeyBank National Association (KeyBank). Through KeyBank and certain other subsidiaries, it provides a range of retail and commercial banking, commercial leasing, investment management, consumer finance, student loan refinancing, commercial mortgage servicing and special servicing, and investment banking products and services to individual, corporate, and institutional clients. Its segment includes Consumer Bank and Commercial Bank. The Consumer Bank serves individuals and small businesses by offering a variety of deposit and investment products, personal finance and financial wellness services, lending, student loan refinancing, mortgage and home equity, credit card, treasury services, and others. The Commercial Bank consists of the Commercial and Institutional operating segments. The Commercial operating segment is focused on serving the borrowing, cash management, and capital markets.</v>
    <v>16989</v>
    <v>New York Stock Exchange</v>
    <v>XNYS</v>
    <v>XNYS</v>
    <v>127 Public Sq, CLEVELAND, OH, 44114-1306 US</v>
    <v>15.73</v>
    <v>Banking Services</v>
    <v>Stock</v>
    <v>45800.958333356248</v>
    <v>266</v>
    <v>15.28</v>
    <v>17151500000</v>
    <v>KEYCORP</v>
    <v>KEYCORP</v>
    <v>15.28</v>
    <v>15.69</v>
    <v>15.65</v>
    <v>15.67</v>
    <v>1095942000</v>
    <v>KEY</v>
    <v>KEYCORP (XNYS:KEY)</v>
    <v>10025724</v>
    <v>11889337</v>
    <v>1958</v>
  </rv>
  <rv s="4">
    <v>267</v>
  </rv>
  <rv s="0">
    <v>https://www.bing.com/financeapi/forcetrigger?t=a1u7xm&amp;q=XNYS%3aGS&amp;form=skydnc</v>
    <v>Learn more on Bing</v>
  </rv>
  <rv s="5">
    <v>en-CA</v>
    <v>a1u7xm</v>
    <v>268435456</v>
    <v>1</v>
    <v>Powered by Refinitiv</v>
    <v>7</v>
    <v>THE GOLDMAN SACHS GROUP, INC. (XNYS:GS)</v>
    <v>8</v>
    <v>9</v>
    <v>Finance</v>
    <v>5</v>
    <v>672.19</v>
    <v>437.37</v>
    <v>1.3162</v>
    <v>0.31</v>
    <v>-1.0020000000000001E-3</v>
    <v>5.1820000000000002E-4</v>
    <v>-0.6</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46600</v>
    <v>New York Stock Exchange</v>
    <v>XNYS</v>
    <v>XNYS</v>
    <v>200 West St, NEW YORK, NY, 10282 US</v>
    <v>601.96</v>
    <v>Investment Banking &amp; Investment Services</v>
    <v>Stock</v>
    <v>45800.999802303122</v>
    <v>269</v>
    <v>582.5</v>
    <v>183656700000</v>
    <v>THE GOLDMAN SACHS GROUP, INC.</v>
    <v>THE GOLDMAN SACHS GROUP, INC.</v>
    <v>585</v>
    <v>13.8855</v>
    <v>598.23</v>
    <v>598.54</v>
    <v>597.94000000000005</v>
    <v>306841100</v>
    <v>GS</v>
    <v>THE GOLDMAN SACHS GROUP, INC. (XNYS:GS)</v>
    <v>1530625</v>
    <v>2364844</v>
    <v>1998</v>
  </rv>
  <rv s="4">
    <v>270</v>
  </rv>
  <rv s="0">
    <v>http://en.wikipedia.org/wiki/Progressive_Corporation</v>
    <v>Wikipedia</v>
  </rv>
  <rv s="1">
    <v>0</v>
    <v>272</v>
  </rv>
  <rv s="2">
    <v>6</v>
    <v>https://www.bing.com/th?id=AMMS_1ae7fef605fb644f70b899c25b5ca660&amp;qlt=95</v>
    <v>273</v>
    <v>0</v>
    <v>https://www.bing.com/images/search?form=xlimg&amp;q=progressive</v>
    <v>Image of THE PROGRESSIVE CORPORATION</v>
  </rv>
  <rv s="0">
    <v>https://www.bing.com/financeapi/forcetrigger?t=a1ztlh&amp;q=XNYS%3aPGR&amp;form=skydnc</v>
    <v>Learn more on Bing</v>
  </rv>
  <rv s="3">
    <v>en-CA</v>
    <v>a1ztlh</v>
    <v>268435456</v>
    <v>1</v>
    <v>Powered by Refinitiv</v>
    <v>0</v>
    <v>THE PROGRESSIVE CORPORATION (XNYS:PGR)</v>
    <v>3</v>
    <v>4</v>
    <v>Finance</v>
    <v>5</v>
    <v>292.99</v>
    <v>201.34</v>
    <v>0.4002</v>
    <v>0.18</v>
    <v>-1.8749999999999999E-3</v>
    <v>6.494999999999999E-4</v>
    <v>-0.52</v>
    <v>USD</v>
    <v>The Progressive Corporation is an insurance holding company, which has insurance and non-insurance subsidiaries and affiliates. The Company’s segments include Personal Lines, Commercial Lines and Other indemnity. The Personal Lines segment writes insurance for personal autos and special lines products. Its special lines of products include recreational vehicles, such as motorcycles, RVs, and watercraft. Its Personal Lines products are sold through both the agency and direct channels. The Commercial Lines segment writes auto-related liability and physical damage insurance, business-related general liability and commercial property insurance predominately for small businesses, and workers’ compensation insurance primarily for the transportation industry. Its reinsurance activity includes both transactions which are regulated and those that are non-regulated. It offers shopping tools and services, such as Name Your Price, Snapshot, and HomeQuote Explorer.</v>
    <v>66300</v>
    <v>New York Stock Exchange</v>
    <v>XNYS</v>
    <v>XNYS</v>
    <v>6300 Wilson Mills Rd, MAYFIELD VILLAGE, OH, 44143 US</v>
    <v>278.87</v>
    <v>274</v>
    <v>Insurance</v>
    <v>Stock</v>
    <v>45800.977027974215</v>
    <v>275</v>
    <v>276.5</v>
    <v>162559800000</v>
    <v>THE PROGRESSIVE CORPORATION</v>
    <v>THE PROGRESSIVE CORPORATION</v>
    <v>277.81</v>
    <v>18.684000000000001</v>
    <v>277.12</v>
    <v>277.3</v>
    <v>276.77999999999997</v>
    <v>586223600</v>
    <v>PGR</v>
    <v>THE PROGRESSIVE CORPORATION (XNYS:PGR)</v>
    <v>1677890</v>
    <v>2547294</v>
    <v>1965</v>
  </rv>
  <rv s="4">
    <v>276</v>
  </rv>
  <rv s="0">
    <v>https://www.bing.com/financeapi/forcetrigger?t=a1xyjc&amp;q=XNYS%3aMS&amp;form=skydnc</v>
    <v>Learn more on Bing</v>
  </rv>
  <rv s="5">
    <v>en-CA</v>
    <v>a1xyjc</v>
    <v>268435456</v>
    <v>1</v>
    <v>Powered by Refinitiv</v>
    <v>7</v>
    <v>MORGAN STANLEY (XNYS:MS)</v>
    <v>8</v>
    <v>9</v>
    <v>Finance</v>
    <v>5</v>
    <v>142.03</v>
    <v>90.94</v>
    <v>1.2924</v>
    <v>-0.19</v>
    <v>-1.6659999999999999E-3</v>
    <v>-1.505E-3</v>
    <v>-0.21</v>
    <v>USD</v>
    <v>Morgan Stanley is a global financial services company. The Company is engaged in providing a range of investment banking, securities, wealth management and investment management services. Its segments include Institutional Securities, Wealth Management and Investment Management. Its Institutional Securities segment provides a variety of products and services to corporations, governments, financial institutions and ultra-high net worth clients. Its Wealth Management segment provides an array of financial services and solutions to individual investors and small to medium-sized businesses and institutions. Its Investment Management segment provides a range of investment strategies and products that span geographies, asset classes, and public and private markets to a diverse group of clients across institutional and intermediary channels. Its investment banking services consist of capital raising and financial advisory services, including the underwriting of debt and other products.</v>
    <v>81000</v>
    <v>New York Stock Exchange</v>
    <v>XNYS</v>
    <v>XNYS</v>
    <v>1585 Broadway, NEW YORK, NY, 10036 US</v>
    <v>126.57</v>
    <v>Investment Banking &amp; Investment Services</v>
    <v>Stock</v>
    <v>45800.997883321092</v>
    <v>278</v>
    <v>123.88</v>
    <v>202256500000</v>
    <v>MORGAN STANLEY</v>
    <v>MORGAN STANLEY</v>
    <v>124.1</v>
    <v>14.811400000000001</v>
    <v>126.26</v>
    <v>126.07</v>
    <v>125.86</v>
    <v>1604319000</v>
    <v>MS</v>
    <v>MORGAN STANLEY (XNYS:MS)</v>
    <v>3361448</v>
    <v>6326410</v>
    <v>1981</v>
  </rv>
  <rv s="4">
    <v>279</v>
  </rv>
  <rv s="0">
    <v>https://www.bing.com/financeapi/forcetrigger?t=a1om4c&amp;q=XNYS%3aBLK&amp;form=skydnc</v>
    <v>Learn more on Bing</v>
  </rv>
  <rv s="5">
    <v>en-CA</v>
    <v>a1om4c</v>
    <v>268435456</v>
    <v>1</v>
    <v>Powered by Refinitiv</v>
    <v>7</v>
    <v>BLACKROCK, INC. (XNYS:BLK)</v>
    <v>8</v>
    <v>9</v>
    <v>Finance</v>
    <v>5</v>
    <v>1084.22</v>
    <v>752.29499999999996</v>
    <v>1.4275</v>
    <v>-6.72</v>
    <v>-4.8800000000000004E-4</v>
    <v>-6.9289999999999994E-3</v>
    <v>-0.47</v>
    <v>USD</v>
    <v>BlackRock, Inc. is an investment management company. The Company provides a range of investment management and technology services to institutional and retail clients. Its diverse platform of alpha-seeking active, private markets, index and cash management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separate accounts, collective investment funds and other pooled investment vehicles. It also offers technology services, including the investment and risk management technology platform, Aladdin, Aladdin Wealth, eFront, and Cachematrix, as well as advisory services and solutions.</v>
    <v>22600</v>
    <v>New York Stock Exchange</v>
    <v>XNYS</v>
    <v>XNYS</v>
    <v>50 Hudson Yards, NEW YORK, NY, 10001 US</v>
    <v>969.73</v>
    <v>Investment Banking &amp; Investment Services</v>
    <v>Stock</v>
    <v>45800.99937349531</v>
    <v>281</v>
    <v>950.29859999999996</v>
    <v>149221800000</v>
    <v>BLACKROCK, INC.</v>
    <v>BLACKROCK, INC.</v>
    <v>956.89</v>
    <v>23.5593</v>
    <v>969.9</v>
    <v>963.18</v>
    <v>962.71</v>
    <v>154926200</v>
    <v>BLK</v>
    <v>BLACKROCK, INC. (XNYS:BLK)</v>
    <v>517495</v>
    <v>642803</v>
    <v>2024</v>
  </rv>
  <rv s="4">
    <v>282</v>
  </rv>
  <rv s="0">
    <v>https://www.bing.com/financeapi/forcetrigger?t=a1p3ww&amp;q=XNYS%3aC&amp;form=skydnc</v>
    <v>Learn more on Bing</v>
  </rv>
  <rv s="5">
    <v>en-CA</v>
    <v>a1p3ww</v>
    <v>268435456</v>
    <v>1</v>
    <v>Powered by Refinitiv</v>
    <v>7</v>
    <v>CITIGROUP INC. (XNYS:C)</v>
    <v>8</v>
    <v>9</v>
    <v>Finance</v>
    <v>5</v>
    <v>84.74</v>
    <v>53.51</v>
    <v>1.3065</v>
    <v>-0.33</v>
    <v>-1.2310000000000001E-3</v>
    <v>-4.4949999999999999E-3</v>
    <v>-0.09</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229000</v>
    <v>New York Stock Exchange</v>
    <v>XNYS</v>
    <v>XNYS</v>
    <v>388 Greenwich Street, 17th Floor, NEW YORK, NY, 10013 US</v>
    <v>73.400000000000006</v>
    <v>Investment Banking &amp; Investment Services</v>
    <v>Stock</v>
    <v>45800.991913182814</v>
    <v>284</v>
    <v>71.650000000000006</v>
    <v>136512700000</v>
    <v>CITIGROUP INC.</v>
    <v>CITIGROUP INC.</v>
    <v>71.650000000000006</v>
    <v>11.596299999999999</v>
    <v>73.42</v>
    <v>73.09</v>
    <v>73</v>
    <v>1867734000</v>
    <v>C</v>
    <v>CITIGROUP INC. (XNYS:C)</v>
    <v>9851855</v>
    <v>12765578</v>
    <v>1988</v>
  </rv>
  <rv s="4">
    <v>285</v>
  </rv>
  <rv s="0">
    <v>https://www.bing.com/financeapi/forcetrigger?t=a22n4c&amp;q=XNYS%3aSCHW&amp;form=skydnc</v>
    <v>Learn more on Bing</v>
  </rv>
  <rv s="5">
    <v>en-CA</v>
    <v>a22n4c</v>
    <v>268435456</v>
    <v>1</v>
    <v>Powered by Refinitiv</v>
    <v>7</v>
    <v>THE CHARLES SCHWAB CORPORATION (XNYS:SCHW)</v>
    <v>8</v>
    <v>9</v>
    <v>Finance</v>
    <v>5</v>
    <v>89.844999999999999</v>
    <v>61.01</v>
    <v>0.92720000000000002</v>
    <v>0.09</v>
    <v>1.3730000000000001E-3</v>
    <v>1.031E-3</v>
    <v>0.12</v>
    <v>USD</v>
    <v>The Charles Schwab Corporation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investment advisory, and banking and trust services to individual investors, and retirement plan and business services, as well as other corporate brokerage services, to businesses and their employees. The Advisor Services segment provides custodial, trading, banking and trust, and support services to independent registered investment advisors (RIAs), independent retirement advisors, and recordkeepers. Its products and services include brokerage, mutual funds, exchange-traded funds (ETFs), managed investing solutions, alternative investments, banking, and trust.</v>
    <v>32100</v>
    <v>New York Stock Exchange</v>
    <v>XNYS</v>
    <v>XNYS</v>
    <v>3000 Schwab Way, WESTLAKE, TX, 76262 US</v>
    <v>87.763400000000004</v>
    <v>Investment Banking &amp; Investment Services</v>
    <v>Stock</v>
    <v>45800.999163992972</v>
    <v>287</v>
    <v>86.03</v>
    <v>158803200000</v>
    <v>THE CHARLES SCHWAB CORPORATION</v>
    <v>THE CHARLES SCHWAB CORPORATION</v>
    <v>86.2</v>
    <v>26.500299999999999</v>
    <v>87.31</v>
    <v>87.4</v>
    <v>87.52</v>
    <v>1816970000</v>
    <v>SCHW</v>
    <v>THE CHARLES SCHWAB CORPORATION (XNYS:SCHW)</v>
    <v>5166687</v>
    <v>8583638</v>
    <v>1986</v>
  </rv>
  <rv s="4">
    <v>288</v>
  </rv>
  <rv s="0">
    <v>https://www.bing.com/financeapi/forcetrigger?t=a1xr1h&amp;q=XNYS%3aMMC&amp;form=skydnc</v>
    <v>Learn more on Bing</v>
  </rv>
  <rv s="5">
    <v>en-CA</v>
    <v>a1xr1h</v>
    <v>268435456</v>
    <v>1</v>
    <v>Powered by Refinitiv</v>
    <v>7</v>
    <v>MARSH &amp; MCLENNAN COMPANIES, INC. (XNYS:MMC)</v>
    <v>8</v>
    <v>9</v>
    <v>Finance</v>
    <v>5</v>
    <v>248</v>
    <v>201.77</v>
    <v>0.82899999999999996</v>
    <v>0.86</v>
    <v>0</v>
    <v>3.764E-3</v>
    <v>0</v>
    <v>USD</v>
    <v>Marsh &amp; McLennan Companies, Inc. is a professional services company in the areas of risk, strategy and people. The Company conducts business through two segments: Risk and Insurance Services, and Consulting. Risk and Insurance Services segment includes risk management activities (risk advice, risk transfer and risk control and mitigation solutions) as well as insurance and reinsurance broking and services. It conducts business in this segment through Marsh and Guy Carpenter. Marsh is an insurance broker and risk advisor, serving companies, institutions and individuals. Guy Carpenter is a reinsurance intermediary and advisor. Consulting segment includes health, wealth and career advice, solutions and products, and specialized management, strategic, economic and brand consulting services. It conducts business in this segment through Mercer and Oliver Wyman Group. Oliver Wyman Group serves as a critical strategic, economic and brand advisor to private sector and governmental clients.</v>
    <v>90000</v>
    <v>New York Stock Exchange</v>
    <v>XNYS</v>
    <v>XNYS</v>
    <v>1166 Avenue of the Americas, NEW YORK, NY, 10036 US</v>
    <v>230.45</v>
    <v>Insurance</v>
    <v>Stock</v>
    <v>45800.958333344533</v>
    <v>290</v>
    <v>226.93</v>
    <v>112997300000</v>
    <v>MARSH &amp; MCLENNAN COMPANIES, INC.</v>
    <v>MARSH &amp; MCLENNAN COMPANIES, INC.</v>
    <v>228.33</v>
    <v>28.023499999999999</v>
    <v>228.47</v>
    <v>229.33</v>
    <v>229.33</v>
    <v>492727800</v>
    <v>MMC</v>
    <v>MARSH &amp; MCLENNAN COMPANIES, INC. (XNYS:MMC)</v>
    <v>1514191</v>
    <v>2155327</v>
    <v>1969</v>
  </rv>
  <rv s="4">
    <v>291</v>
  </rv>
  <rv s="0">
    <v>https://www.bing.com/financeapi/forcetrigger?t=a1p8tc&amp;q=XNYS%3aCB&amp;form=skydnc</v>
    <v>Learn more on Bing</v>
  </rv>
  <rv s="5">
    <v>en-CA</v>
    <v>a1p8tc</v>
    <v>268435456</v>
    <v>1</v>
    <v>Powered by Refinitiv</v>
    <v>7</v>
    <v>Chubb Ltd (XNYS:CB)</v>
    <v>8</v>
    <v>9</v>
    <v>Finance</v>
    <v>5</v>
    <v>306.91000000000003</v>
    <v>251.42</v>
    <v>0.54959999999999998</v>
    <v>-0.99</v>
    <v>-3.1640000000000001E-3</v>
    <v>-3.4480000000000001E-3</v>
    <v>-0.90529999999999999</v>
    <v>USD</v>
    <v>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v>43000</v>
    <v>New York Stock Exchange</v>
    <v>XNYS</v>
    <v>XNYS</v>
    <v>Baerengasse 32, ZUERICH, ZUERICH, 8001 CH</v>
    <v>287.92500000000001</v>
    <v>Insurance</v>
    <v>Stock</v>
    <v>45800.958333356248</v>
    <v>293</v>
    <v>285.11</v>
    <v>114647600000</v>
    <v>Chubb Ltd</v>
    <v>Chubb Ltd</v>
    <v>287.52</v>
    <v>13.822699999999999</v>
    <v>287.08999999999997</v>
    <v>286.10000000000002</v>
    <v>285.19470000000001</v>
    <v>400725700</v>
    <v>CB</v>
    <v>Chubb Ltd (XNYS:CB)</v>
    <v>745256</v>
    <v>1593327</v>
    <v>2008</v>
  </rv>
  <rv s="4">
    <v>294</v>
  </rv>
  <rv s="0">
    <v>https://www.bing.com/financeapi/forcetrigger?t=a1p2ar&amp;q=XNYS%3aBX&amp;form=skydnc</v>
    <v>Learn more on Bing</v>
  </rv>
  <rv s="5">
    <v>en-CA</v>
    <v>a1p2ar</v>
    <v>268435456</v>
    <v>1</v>
    <v>Powered by Refinitiv</v>
    <v>7</v>
    <v>BLACKSTONE INC. (XNYS:BX)</v>
    <v>8</v>
    <v>9</v>
    <v>Finance</v>
    <v>5</v>
    <v>200.96</v>
    <v>115.66</v>
    <v>1.6496</v>
    <v>-0.81</v>
    <v>-1.6900000000000001E-3</v>
    <v>-5.9150000000000001E-3</v>
    <v>-0.23</v>
    <v>USD</v>
    <v>Blackstone Inc. is an alternative asset manager. The Company’s assets under management include global investment strategies focused on real estate, private equity, infrastructure, life sciences, growth equity, credit, real assets, secondaries and hedge funds. It operates through four segments: Real Estate, Private Equity, Credit &amp; Insurance and Multi-Asset Investing. Its Real Estate segment primarily comprises its management of opportunistic real estate funds, Core+ real estate funds, and real estate debt strategies. Its Credit &amp; Insurance segment consists principally of Blackstone Credit &amp; Insurance, which is organized into three overarching strategies: private corporate credit, liquid corporate credit and infrastructure and asset-based credit. Multi-Asset Investing is organized into two primary platforms: Absolute Return and Multi-Strategy. In addition, the segment also includes a publicly traded energy infrastructure, renewables and master limited partnership investment platform.</v>
    <v>4895</v>
    <v>New York Stock Exchange</v>
    <v>XNYS</v>
    <v>XNYS</v>
    <v>345 Park Avenue, NEW YORK, NY, 10154 US</v>
    <v>137.2655</v>
    <v>Investment Banking &amp; Investment Services</v>
    <v>Stock</v>
    <v>45800.999589756248</v>
    <v>296</v>
    <v>133.25</v>
    <v>165144300000</v>
    <v>BLACKSTONE INC.</v>
    <v>BLACKSTONE INC.</v>
    <v>133.5</v>
    <v>41.373100000000001</v>
    <v>136.93</v>
    <v>136.12</v>
    <v>135.88999999999999</v>
    <v>1213226000</v>
    <v>BX</v>
    <v>BLACKSTONE INC. (XNYS:BX)</v>
    <v>2613861</v>
    <v>4244355</v>
    <v>2007</v>
  </rv>
  <rv s="4">
    <v>297</v>
  </rv>
  <rv s="0">
    <v>https://www.bing.com/financeapi/forcetrigger?t=a1v8ar&amp;q=XNYS%3aICE&amp;form=skydnc</v>
    <v>Learn more on Bing</v>
  </rv>
  <rv s="5">
    <v>en-CA</v>
    <v>a1v8ar</v>
    <v>268435456</v>
    <v>1</v>
    <v>Powered by Refinitiv</v>
    <v>7</v>
    <v>INTERCONTINENTAL EXCHANGE, INC. (XNYS:ICE)</v>
    <v>8</v>
    <v>9</v>
    <v>Finance</v>
    <v>5</v>
    <v>179.435</v>
    <v>131.79</v>
    <v>1.1252</v>
    <v>2.12</v>
    <v>-3.2478E-2</v>
    <v>1.2183999999999999E-2</v>
    <v>-5.72</v>
    <v>USD</v>
    <v>Intercontinental Exchange, Inc. provides financial technology and data services across major asset classes, helping its customers access workflow tools that increase transparency and efficiency. Its Exchanges segment operates regulated marketplace technology for the listing, trading and clearing of an array of derivatives contracts and financial securities as well as data and connectivity services related to its exchanges and clearing houses. Its Fixed Income and Data Services segment provides fixed income pricing, reference data, indices, analytics and execution services as well as global credit default swaps (CDS), clearing and multi-asset class data delivery technology. Its Mortgage Technology segment provides a technology platform that offers customers comprehensive, digital workflow tools that aim to address inefficiencies and mitigate risks that exist in the United States residential mortgage market life cycle, from application through closing, servicing and the secondary market.</v>
    <v>12842</v>
    <v>New York Stock Exchange</v>
    <v>XNYS</v>
    <v>XNYS</v>
    <v>5660 New Northside Drive, Third Floor, ATLANTA, GA, 30328 US</v>
    <v>176.785</v>
    <v>Investment Banking &amp; Investment Services</v>
    <v>Stock</v>
    <v>45800.988454142971</v>
    <v>299</v>
    <v>172.905</v>
    <v>101027100000</v>
    <v>INTERCONTINENTAL EXCHANGE, INC.</v>
    <v>INTERCONTINENTAL EXCHANGE, INC.</v>
    <v>173.5</v>
    <v>36.0184</v>
    <v>174</v>
    <v>176.12</v>
    <v>170.4</v>
    <v>573626300</v>
    <v>ICE</v>
    <v>INTERCONTINENTAL EXCHANGE, INC. (XNYS:ICE)</v>
    <v>2248077</v>
    <v>2888855</v>
    <v>2013</v>
  </rv>
  <rv s="4">
    <v>300</v>
  </rv>
  <rv s="0">
    <v>https://www.bing.com/financeapi/forcetrigger?t=a1px2w&amp;q=XNAS%3aCME&amp;form=skydnc</v>
    <v>Learn more on Bing</v>
  </rv>
  <rv s="5">
    <v>en-CA</v>
    <v>a1px2w</v>
    <v>268435456</v>
    <v>1</v>
    <v>Powered by Refinitiv</v>
    <v>7</v>
    <v>CME GROUP INC. (XNAS:CME)</v>
    <v>8</v>
    <v>9</v>
    <v>Finance</v>
    <v>5</v>
    <v>286.48</v>
    <v>190.7</v>
    <v>0.47320000000000001</v>
    <v>2.0699999999999998</v>
    <v>7.3929999999999994E-3</v>
    <v>7.3400000000000002E-3</v>
    <v>2.1</v>
    <v>USD</v>
    <v>CME Group Inc. provides a derivatives marketplace. The Company enables clients to trade futures, options, cash and over the counter (OTC) markets, optimize portfolios, and analyze data. It exchanges offer a range of global benchmark products across all major asset classes based on interest rates, equity indexes, foreign exchange (FX), energy, agricultural products and metals. It offers futures and options on futures trading through the CME Globex platform, fixed income trading via BrokerTec and FX trading on the EBS platform. In addition, it operates central counterparty clearing provider, CME Clearing. Its products provide a means for hedging, speculation and asset allocation related to the risks associated with, among other things, interest rate sensitive instruments, and changes in the prices of agricultural, energy and metal commodities. It provides clearing and settlement services for a range of exchange-traded futures and options on futures contracts and OTC derivatives.</v>
    <v>3760</v>
    <v>Nasdaq Stock Market</v>
    <v>XNAS</v>
    <v>XNAS</v>
    <v>20 S. Wacker Dr., CHICAGO, IL, 60606 US</v>
    <v>285.86989999999997</v>
    <v>Investment Banking &amp; Investment Services</v>
    <v>Stock</v>
    <v>45800.993249560153</v>
    <v>302</v>
    <v>280.39</v>
    <v>102366400000</v>
    <v>CME GROUP INC.</v>
    <v>CME GROUP INC.</v>
    <v>281.8</v>
    <v>28.3507</v>
    <v>282</v>
    <v>284.07</v>
    <v>286.17</v>
    <v>360356100</v>
    <v>CME</v>
    <v>CME GROUP INC. (XNAS:CME)</v>
    <v>2323476</v>
    <v>2141875</v>
    <v>2001</v>
  </rv>
  <rv s="4">
    <v>303</v>
  </rv>
  <rv s="0">
    <v>http://commons.wikimedia.org/wiki/File:2006-06-07_840x1500_chicago_aon_building.jpg</v>
    <v>J. Crocker</v>
  </rv>
  <rv s="0">
    <v>http://es.wikipedia.org/wiki/Aon</v>
    <v>Wikipedia</v>
  </rv>
  <rv s="1">
    <v>305</v>
    <v>306</v>
  </rv>
  <rv s="2">
    <v>6</v>
    <v>https://www.bing.com/th?id=AMMS_7617e91f3c55e615e2b5e1f75761cfe5&amp;qlt=95</v>
    <v>307</v>
    <v>0</v>
    <v>https://www.bing.com/images/search?form=xlimg&amp;q=aon+company</v>
    <v>Image of AON PUBLIC LIMITED COMPANY</v>
  </rv>
  <rv s="0">
    <v>https://www.bing.com/financeapi/forcetrigger?t=a1nkgh&amp;q=XNYS%3aAON&amp;form=skydnc</v>
    <v>Learn more on Bing</v>
  </rv>
  <rv s="3">
    <v>en-CA</v>
    <v>a1nkgh</v>
    <v>268435456</v>
    <v>1</v>
    <v>Powered by Refinitiv</v>
    <v>0</v>
    <v>AON PUBLIC LIMITED COMPANY (XNYS:AON)</v>
    <v>3</v>
    <v>4</v>
    <v>Finance</v>
    <v>5</v>
    <v>412.97</v>
    <v>275.07</v>
    <v>0.85640000000000005</v>
    <v>1.21</v>
    <v>0</v>
    <v>3.405E-3</v>
    <v>0</v>
    <v>USD</v>
    <v>Aon PLC is a global professional services company. The Company provides advice and solutions to clients focused on risk, health and wealth through four principal products and services: commercial risk solutions, reinsurance solutions, health solutions, and wealth solutions. Commercial Risk Solutions includes retail brokerage, specialty solutions, global risk consulting and captives’ management, and Affinity programs. Reinsurance Solutions includes treaty reinsurance, facultative reinsurance, and capital markets. Health Solutions includes consulting and brokerage, voluntary benefits and enrollment solutions, and human capital solutions. Wealth Solutions includes retirement consulting, pension administration, and investments consulting. Data &amp; analytic services include Affinity, Aon Inpoint, CoverWallet, and ReView. Retirement consulting specializes in providing clients with strategic design consulting on their retirement programs, actuarial services, and risk management.</v>
    <v>60000</v>
    <v>New York Stock Exchange</v>
    <v>XNYS</v>
    <v>XNYS</v>
    <v>Metropolitan Building, James Joyce Street, DUBLIN, D01 K0Y8 IE</v>
    <v>357.28</v>
    <v>308</v>
    <v>Insurance</v>
    <v>Stock</v>
    <v>45800.976961990622</v>
    <v>309</v>
    <v>351.89499999999998</v>
    <v>76991220000</v>
    <v>AON PUBLIC LIMITED COMPANY</v>
    <v>AON PUBLIC LIMITED COMPANY</v>
    <v>355.39</v>
    <v>30.7227</v>
    <v>355.33</v>
    <v>356.54</v>
    <v>356.54</v>
    <v>215939900</v>
    <v>AON</v>
    <v>AON PUBLIC LIMITED COMPANY (XNYS:AON)</v>
    <v>1087375</v>
    <v>1550870</v>
    <v>2017</v>
  </rv>
  <rv s="4">
    <v>310</v>
  </rv>
  <rv s="0">
    <v>https://www.bing.com/financeapi/forcetrigger?t=a1n7pr&amp;q=XNYS%3aAJG&amp;form=skydnc</v>
    <v>Learn more on Bing</v>
  </rv>
  <rv s="5">
    <v>en-CA</v>
    <v>a1n7pr</v>
    <v>268435456</v>
    <v>1</v>
    <v>Powered by Refinitiv</v>
    <v>7</v>
    <v>ARTHUR J. GALLAGHER &amp; CO. (XNYS:AJG)</v>
    <v>8</v>
    <v>9</v>
    <v>Finance</v>
    <v>5</v>
    <v>350.69499999999999</v>
    <v>244.6</v>
    <v>0.74309999999999998</v>
    <v>2.56</v>
    <v>-5.4429999999999999E-3</v>
    <v>7.6309999999999998E-3</v>
    <v>-1.84</v>
    <v>USD</v>
    <v>Arthur J. Gallagher &amp; Co. is a global insurance brokerage, risk management and consulting services company. The Company’s segments include brokerage, risk management and corporate. The brokerage segment operations provide brokerage and consulting services to entities of all types, including commercial, nonprofit, public sector entities, insurance companies and insurance capital providers, and to a lesser extent, individuals, in the areas of insurance and reinsurance placements, risk of loss management, and management of employer- sponsored benefit programs. The risk management segment operations provide contract claim settlement, claim administration, loss control services and risk management consulting for commercial, non-profit, captive and public sector entities, and various other organizations that choose to self-insure property/casualty coverage or choose to use a third party claims management organization rather than the claim services provided by an underwriting enterprise.</v>
    <v>56000</v>
    <v>New York Stock Exchange</v>
    <v>XNYS</v>
    <v>XNYS</v>
    <v>2850 Golf Road, ROLLING MEADOWS, IL, 60008-4050 US</v>
    <v>339.41</v>
    <v>Insurance</v>
    <v>Stock</v>
    <v>45800.988927603903</v>
    <v>312</v>
    <v>333.47</v>
    <v>86572050000</v>
    <v>ARTHUR J. GALLAGHER &amp; CO.</v>
    <v>ARTHUR J. GALLAGHER &amp; CO.</v>
    <v>336.27</v>
    <v>51.578099999999999</v>
    <v>335.48</v>
    <v>338.04</v>
    <v>336.2</v>
    <v>256100000</v>
    <v>AJG</v>
    <v>ARTHUR J. GALLAGHER &amp; CO. (XNYS:AJG)</v>
    <v>859459</v>
    <v>1308354</v>
    <v>1972</v>
  </rv>
  <rv s="4">
    <v>313</v>
  </rv>
  <rv s="0">
    <v>https://www.bing.com/financeapi/forcetrigger?t=a1wj9c&amp;q=XNYS%3aKKR&amp;form=skydnc</v>
    <v>Learn more on Bing</v>
  </rv>
  <rv s="5">
    <v>en-CA</v>
    <v>a1wj9c</v>
    <v>268435456</v>
    <v>1</v>
    <v>Powered by Refinitiv</v>
    <v>7</v>
    <v>KKR &amp; CO. INC. (XNYS:KKR)</v>
    <v>8</v>
    <v>9</v>
    <v>Finance</v>
    <v>5</v>
    <v>170.4</v>
    <v>86.15</v>
    <v>1.8960999999999999</v>
    <v>-1.02</v>
    <v>-1.7069999999999998E-4</v>
    <v>-8.6289999999999995E-3</v>
    <v>-0.02</v>
    <v>USD</v>
    <v>KKR &amp; Co. Inc. is a global investment firm that offers alternative asset management as well as capital markets and insurance solutions. The Company’s segments include Asset Management, Insurance and Strategic Holdings. Asset Management segment offers a range of investment management services to investment funds, vehicles and accounts and provides capital markets services to portfolio companies and third parties. Asset Management segment includes five business lines: Private Equity, Real Assets, Credit and Liquid Strategies, Capital Markets and Principal Activities. Insurance segment is operated by Global Atlantic, which is a United States retirement and life insurance company that provides a suite of protection, legacy and savings products and reinsurance solutions to clients across individual and institutional markets. Global Atlantic offers individuals fixed-rate annuities and others. Strategic Holdings segment represents its participation in its core private equity strategy.</v>
    <v>4834</v>
    <v>New York Stock Exchange</v>
    <v>XNYS</v>
    <v>XNYS</v>
    <v>30 Hudson Yards, NEW YORK, NY, 10001 US</v>
    <v>118.19</v>
    <v>Investment Banking &amp; Investment Services</v>
    <v>Stock</v>
    <v>45800.981941608596</v>
    <v>315</v>
    <v>115</v>
    <v>104365400000</v>
    <v>KKR &amp; CO. INC.</v>
    <v>KKR &amp; CO. INC.</v>
    <v>115.06</v>
    <v>51.145400000000002</v>
    <v>118.2</v>
    <v>117.18</v>
    <v>117.16</v>
    <v>890641900</v>
    <v>KKR</v>
    <v>KKR &amp; CO. INC. (XNYS:KKR)</v>
    <v>3021154</v>
    <v>4577963</v>
    <v>2021</v>
  </rv>
  <rv s="4">
    <v>316</v>
  </rv>
  <rv s="0">
    <v>https://www.bing.com/financeapi/forcetrigger?t=a1ojc7&amp;q=XNYS%3aBK&amp;form=skydnc</v>
    <v>Learn more on Bing</v>
  </rv>
  <rv s="5">
    <v>en-CA</v>
    <v>a1ojc7</v>
    <v>268435456</v>
    <v>1</v>
    <v>Powered by Refinitiv</v>
    <v>7</v>
    <v>THE BANK OF NEW YORK MELLON CORPORATION (XNYS:BK)</v>
    <v>8</v>
    <v>9</v>
    <v>Finance</v>
    <v>5</v>
    <v>90.625</v>
    <v>57.18</v>
    <v>1.0770999999999999</v>
    <v>-0.09</v>
    <v>-1.01E-3</v>
    <v>-1.0090000000000001E-3</v>
    <v>-0.09</v>
    <v>USD</v>
    <v>The Bank of New York Mellon Corporation is a global financial services company. The Company’s business segment includes Securities Services, Market and Wealth Services and Investment and Wealth Management. The Securities Services business segment consists of Asset Servicing and Issuer Services, which provide business solutions across the transaction life cycle to its global asset owner and asset manager clients. The Market and Wealth Services business segment consists of three lines of business, Pershing, Treasury Services and Clearance and Collateral Management, which provide business services and technology solutions. Its Investment and Wealth Management business segment deliver a diversified portfolio of investment strategies independently, and through its global distribution network, to institutional and retail clients globally. It provides investment management, custody, wealth and estate planning, private banking services, investment servicing and information management.</v>
    <v>51000</v>
    <v>New York Stock Exchange</v>
    <v>XNYS</v>
    <v>XNYS</v>
    <v>240 Greenwich Street, NEW YORK, NY, 10286 US</v>
    <v>89.49</v>
    <v>Investment Banking &amp; Investment Services</v>
    <v>Stock</v>
    <v>45800.99295540469</v>
    <v>318</v>
    <v>87.88</v>
    <v>63738020000</v>
    <v>THE BANK OF NEW YORK MELLON CORPORATION</v>
    <v>THE BANK OF NEW YORK MELLON CORPORATION</v>
    <v>88.17</v>
    <v>14.5374</v>
    <v>89.18</v>
    <v>89.09</v>
    <v>89</v>
    <v>715434000</v>
    <v>BK</v>
    <v>THE BANK OF NEW YORK MELLON CORPORATION (XNYS:BK)</v>
    <v>2974340</v>
    <v>3933646</v>
    <v>2007</v>
  </rv>
  <rv s="4">
    <v>319</v>
  </rv>
  <rv s="0">
    <v>https://www.bing.com/financeapi/forcetrigger?t=a1nlzr&amp;q=XNYS%3aAPO&amp;form=skydnc</v>
    <v>Learn more on Bing</v>
  </rv>
  <rv s="5">
    <v>en-CA</v>
    <v>a1nlzr</v>
    <v>268435456</v>
    <v>1</v>
    <v>Powered by Refinitiv</v>
    <v>7</v>
    <v>APOLLO GLOBAL MANAGEMENT, INC. (XNYS:APO)</v>
    <v>8</v>
    <v>9</v>
    <v>Finance</v>
    <v>5</v>
    <v>189.49</v>
    <v>95.11</v>
    <v>1.6013999999999999</v>
    <v>0.06</v>
    <v>2.9039999999999999E-3</v>
    <v>4.5870000000000004E-4</v>
    <v>0.38</v>
    <v>USD</v>
    <v>Apollo Global Management, Inc. is a global alternative asset manager and a retirement services provider. It operates through three segments: Asset Management, Retirement Services and Principal Investing. The Asset Management segment focuses on three investing strategies: yield, hybrid, and equity. These strategies reflect the range of investment capabilities across its platform based on relative risk and return. The Retirement Services business is conducted by Athene Holding Ltd (Athene), a financial services company that specializes in issuing, reinsuring, and acquiring retirement savings products designed for the increasing number of individuals and institutions seeking to fund retirement needs. Athene product lines include annuities and funding agreements. The Principal Investing segment includes realized performance fee income, realized investment income from its balance sheet investments, and certain allocable expenses related to corporate functions supporting the entire company.</v>
    <v>5108</v>
    <v>New York Stock Exchange</v>
    <v>XNYS</v>
    <v>XNYS</v>
    <v>9 West 57Th Street, 42Nd Floor, NEW YORK, NY, 10019 US</v>
    <v>132.07</v>
    <v>Collective Investments</v>
    <v>Stock</v>
    <v>45800.977984478908</v>
    <v>321</v>
    <v>126.79</v>
    <v>74791450000</v>
    <v>APOLLO GLOBAL MANAGEMENT, INC.</v>
    <v>APOLLO GLOBAL MANAGEMENT, INC.</v>
    <v>127.45</v>
    <v>23.111899999999999</v>
    <v>130.81</v>
    <v>130.87</v>
    <v>131.25</v>
    <v>571494200</v>
    <v>APO</v>
    <v>APOLLO GLOBAL MANAGEMENT, INC. (XNYS:APO)</v>
    <v>2341154</v>
    <v>3562863</v>
    <v>2021</v>
  </rv>
  <rv s="4">
    <v>322</v>
  </rv>
  <rv s="0">
    <v>https://www.bing.com/financeapi/forcetrigger?t=a24j8m&amp;q=XNYS%3aTRV&amp;form=skydnc</v>
    <v>Learn more on Bing</v>
  </rv>
  <rv s="5">
    <v>en-CA</v>
    <v>a24j8m</v>
    <v>268435456</v>
    <v>1</v>
    <v>Powered by Refinitiv</v>
    <v>7</v>
    <v>The Travelers Companies, Inc. (XNYS:TRV)</v>
    <v>8</v>
    <v>9</v>
    <v>Finance</v>
    <v>5</v>
    <v>275.02999999999997</v>
    <v>200.21</v>
    <v>0.53800000000000003</v>
    <v>-0.04</v>
    <v>-1.4760000000000001E-4</v>
    <v>-1.4760000000000001E-4</v>
    <v>-0.04</v>
    <v>USD</v>
    <v>The Travelers Companies, Inc. is a provider of property casualty insurance for auto, home, and business. The Company's segments include Business Insurance, Bond &amp; Specialty Insurance, and Personal Insurance. The Business Insurance segment offers a broad array of property and casualty insurance products and services. The Bond &amp; Specialty Insurance segment offers surety, fidelity, management liability, professional liability, and other property and casualty coverages and related risk management services, primarily in the United States, and certain surety and specialty insurance products in Canada, the United Kingdom, and the Republic of Ireland, as well as Brazil. The Personal Insurance segment offers a broad range of property and casualty insurance products and services covering individuals personal risks, primarily in the United States, as well as in Canada. The Company, through its subsidiary, Corvus Insurance Holdings, Inc., is a cyber insurance managing general underwriter.</v>
    <v>34000</v>
    <v>New York Stock Exchange</v>
    <v>XNYS</v>
    <v>XNYS</v>
    <v>385 WASHINGTON ST, SAINT PAUL, MN, 55102 US</v>
    <v>272.95999999999998</v>
    <v>Insurance</v>
    <v>Stock</v>
    <v>45800.958333344533</v>
    <v>324</v>
    <v>268.95</v>
    <v>61409200000</v>
    <v>The Travelers Companies, Inc.</v>
    <v>The Travelers Companies, Inc.</v>
    <v>271.52</v>
    <v>14.756500000000001</v>
    <v>271.08</v>
    <v>271.04000000000002</v>
    <v>271</v>
    <v>226568800</v>
    <v>TRV</v>
    <v>The Travelers Companies, Inc. (XNYS:TRV)</v>
    <v>832653</v>
    <v>1165332</v>
    <v>1853</v>
  </rv>
  <rv s="4">
    <v>325</v>
  </rv>
  <rv s="0">
    <v>https://www.bing.com/financeapi/forcetrigger?t=a1mzjc&amp;q=XNYS%3aAFL&amp;form=skydnc</v>
    <v>Learn more on Bing</v>
  </rv>
  <rv s="5">
    <v>en-CA</v>
    <v>a1mzjc</v>
    <v>268435456</v>
    <v>1</v>
    <v>Powered by Refinitiv</v>
    <v>7</v>
    <v>AFLAC INCORPORATED (XNYS:AFL)</v>
    <v>8</v>
    <v>9</v>
    <v>Finance</v>
    <v>5</v>
    <v>115.5</v>
    <v>86.46</v>
    <v>0.82320000000000004</v>
    <v>0.08</v>
    <v>-2.4676E-2</v>
    <v>7.8090000000000006E-4</v>
    <v>-2.5299999999999998</v>
    <v>USD</v>
    <v>Aflac Incorporated provides financial protection to policyholders and customers through its subsidiaries in the United States and Japan. The Company’s principal business is supplemental health and life insurance products. The Company’s segments include Aflac Japan, which includes Aflac Life Insurance Japan (ALIJ), and Aflac U.S., which includes American Family Life Assurance Company of Columbus (Aflac), American Family Life Assurance Company of New York (Aflac New York), Continental American Insurance Company (CAIC), Tier One Insurance Company (TOIC) and Aflac Benefits Solutions, Inc. (ABS). The Aflac Japan segment is the insurer in Japan in terms of cancer and medical (third sector insurance products) policies in force. The Company designs its United States insurance products to provide supplemental coverage for people who already have major medical or primary insurance coverage, as Aflac U.S. insurance policies pay benefits regardless of other insurance.</v>
    <v>12694</v>
    <v>New York Stock Exchange</v>
    <v>XNYS</v>
    <v>XNYS</v>
    <v>1932 Wynnton Rd, COLUMBUS, GA, 31999-0001 US</v>
    <v>102.91</v>
    <v>Insurance</v>
    <v>Stock</v>
    <v>45800.958333356248</v>
    <v>327</v>
    <v>101.67</v>
    <v>55432340000</v>
    <v>AFLAC INCORPORATED</v>
    <v>AFLAC INCORPORATED</v>
    <v>102</v>
    <v>15.990500000000001</v>
    <v>102.45</v>
    <v>102.53</v>
    <v>100</v>
    <v>540645000</v>
    <v>AFL</v>
    <v>AFLAC INCORPORATED (XNYS:AFL)</v>
    <v>1641569</v>
    <v>1951214</v>
    <v>1973</v>
  </rv>
  <rv s="4">
    <v>328</v>
  </rv>
  <rv s="0">
    <v>https://www.bing.com/financeapi/forcetrigger?t=a1nanm&amp;q=XNYS%3aALL&amp;form=skydnc</v>
    <v>Learn more on Bing</v>
  </rv>
  <rv s="5">
    <v>en-CA</v>
    <v>a1nanm</v>
    <v>268435456</v>
    <v>1</v>
    <v>Powered by Refinitiv</v>
    <v>7</v>
    <v>THE ALLSTATE CORPORATION (XNYS:ALL)</v>
    <v>8</v>
    <v>9</v>
    <v>Finance</v>
    <v>5</v>
    <v>212.91</v>
    <v>156.66</v>
    <v>0.3332</v>
    <v>0.72</v>
    <v>3.7390000000000001E-3</v>
    <v>3.555E-3</v>
    <v>0.76</v>
    <v>USD</v>
    <v>The Allstate Corporation protects people from life’s uncertainties with a wide array of protection for autos, homes, electronic devices and identity theft. The Company’s products are available through Allstate agents, independent agents, major retailers, online and at the workplace. Its Allstate Protection segment offers private passenger auto, homeowners, other personal lines and commercial insurance. Its Run-off Property-Liability segment includes property and casualty insurance coverage. Its Protection Services segment provides consumer product protection plans, device and mobile data collection services and analytic solutions using automotive telematics information, roadside assistance, protection and insurance products and identity protection and restoration through Allstate Protection Plans, Allstate Dealer Services, Allstate Roadside, Arity and Allstate Identity Protection. The Company is also engaged in group as well as individual health businesses.</v>
    <v>55000</v>
    <v>New York Stock Exchange</v>
    <v>XNYS</v>
    <v>XNYS</v>
    <v>3100 SANDERS ROAD, NORTHBROOK, IL, 60062 US</v>
    <v>204.09</v>
    <v>Insurance</v>
    <v>Stock</v>
    <v>45800.967606539059</v>
    <v>330</v>
    <v>201.42</v>
    <v>53821510000</v>
    <v>THE ALLSTATE CORPORATION</v>
    <v>THE ALLSTATE CORPORATION</v>
    <v>202.52</v>
    <v>13.844200000000001</v>
    <v>202.52</v>
    <v>203.24</v>
    <v>204</v>
    <v>264817500</v>
    <v>ALL</v>
    <v>THE ALLSTATE CORPORATION (XNYS:ALL)</v>
    <v>821315</v>
    <v>1361696</v>
    <v>1992</v>
  </rv>
  <rv s="4">
    <v>331</v>
  </rv>
  <rv s="0">
    <v>https://www.bing.com/financeapi/forcetrigger?t=a1n6f2&amp;q=XNYS%3aAIG&amp;form=skydnc</v>
    <v>Learn more on Bing</v>
  </rv>
  <rv s="5">
    <v>en-CA</v>
    <v>a1n6f2</v>
    <v>268435456</v>
    <v>1</v>
    <v>Powered by Refinitiv</v>
    <v>7</v>
    <v>AMERICAN INTERNATIONAL GROUP, INC. (XNYS:AIG)</v>
    <v>8</v>
    <v>9</v>
    <v>Finance</v>
    <v>5</v>
    <v>88.07</v>
    <v>69</v>
    <v>0.65469999999999995</v>
    <v>-0.4</v>
    <v>-1.47E-3</v>
    <v>-4.8770000000000003E-3</v>
    <v>-0.12</v>
    <v>USD</v>
    <v>American International Group, Inc. is a global insurance company. It provides insurance solutions that help businesses and individuals in over 200 countries and jurisdictions protect their assets and manage risks through its operations, licenses and authorizations and network partners. Its segment includes General Insurance and Other Operations. General Insurance business includes its three segments, including North America Commercial, International Commercial and Global Personal. The North America Commercial consists of insurance businesses in the United States, Canada and Bermuda. The International Commercial consists of insurance businesses in Japan, the United Kingdom, Europe, Middle East and Africa, Asia Pacific, Latin America and Caribbean and China. The North America and International Commercial segment products include property and short tail, casualty, financial lines and global specialty. Global Personal segment products include global accident and health and personal lines.</v>
    <v>22200</v>
    <v>New York Stock Exchange</v>
    <v>XNYS</v>
    <v>XNYS</v>
    <v>1271 Ave Of The Americas, Fl 37, NEW YORK, NY, 10020-1304 US</v>
    <v>82.03</v>
    <v>Insurance</v>
    <v>Stock</v>
    <v>45800.967267685155</v>
    <v>333</v>
    <v>81.13</v>
    <v>47040070000</v>
    <v>AMERICAN INTERNATIONAL GROUP, INC.</v>
    <v>AMERICAN INTERNATIONAL GROUP, INC.</v>
    <v>81.25</v>
    <v>20.456099999999999</v>
    <v>82.02</v>
    <v>81.62</v>
    <v>81.5</v>
    <v>576330300</v>
    <v>AIG</v>
    <v>AMERICAN INTERNATIONAL GROUP, INC. (XNYS:AIG)</v>
    <v>3313947</v>
    <v>3549829</v>
    <v>1967</v>
  </rv>
  <rv s="4">
    <v>334</v>
  </rv>
  <rv s="0">
    <v>https://www.bing.com/financeapi/forcetrigger?t=a1nfvh&amp;q=XNYS%3aAMP&amp;form=skydnc</v>
    <v>Learn more on Bing</v>
  </rv>
  <rv s="5">
    <v>en-CA</v>
    <v>a1nfvh</v>
    <v>268435456</v>
    <v>1</v>
    <v>Powered by Refinitiv</v>
    <v>7</v>
    <v>AMERIPRISE FINANCIAL, INC. (XNYS:AMP)</v>
    <v>8</v>
    <v>9</v>
    <v>Finance</v>
    <v>5</v>
    <v>582.04999999999995</v>
    <v>385.74</v>
    <v>1.2325999999999999</v>
    <v>-3.75</v>
    <v>-3.9649999999999995E-5</v>
    <v>-7.3790000000000001E-3</v>
    <v>-0.02</v>
    <v>USD</v>
    <v>Ameriprise Financial, Inc. is a diversified financial services company. The Company’s segments include Advice &amp; Wealth Management, Asset Management, Retirement &amp; Protection Solutions and Corporate &amp; Other. The Advice &amp; Wealth Management segment provides financial planning and advice, as well as full-service brokerage services, primarily to retail clients through the Company’s advisors. The Asset Management segment provides investment management, advice and products to retail, high net worth and institutional clients on a global scale through the Columbia Threadneedle Investments brand. It provides institutional products and services through its institutional sales force. The Retirement &amp; Protection Solutions segment includes retirement solutions (variable annuities and payout annuities) and protection solutions (life and disability income insurance). Retirement Solutions provides variable annuity products by RiverSource Life companies to individual clients.</v>
    <v>13600</v>
    <v>New York Stock Exchange</v>
    <v>XNYS</v>
    <v>XNYS</v>
    <v>1099 Ameriprise Financial Center, MINNEAPOLIS, MN, 55474 US</v>
    <v>507.78</v>
    <v>Investment Banking &amp; Investment Services</v>
    <v>Stock</v>
    <v>45800.958333356248</v>
    <v>336</v>
    <v>499.64</v>
    <v>48036030000</v>
    <v>AMERIPRISE FINANCIAL, INC.</v>
    <v>AMERIPRISE FINANCIAL, INC.</v>
    <v>499.64</v>
    <v>17.2804</v>
    <v>508.21</v>
    <v>504.46</v>
    <v>504.44</v>
    <v>95222670</v>
    <v>AMP</v>
    <v>AMERIPRISE FINANCIAL, INC. (XNYS:AMP)</v>
    <v>379427</v>
    <v>469689</v>
    <v>1983</v>
  </rv>
  <rv s="4">
    <v>337</v>
  </rv>
  <rv s="0">
    <v>https://www.bing.com/financeapi/forcetrigger?t=a1xhvh&amp;q=XNYS%3aMET&amp;form=skydnc</v>
    <v>Learn more on Bing</v>
  </rv>
  <rv s="5">
    <v>en-CA</v>
    <v>a1xhvh</v>
    <v>268435456</v>
    <v>1</v>
    <v>Powered by Refinitiv</v>
    <v>7</v>
    <v>METLIFE, INC. (XNYS:MET)</v>
    <v>8</v>
    <v>9</v>
    <v>Finance</v>
    <v>5</v>
    <v>89.05</v>
    <v>65.209999999999994</v>
    <v>0.84</v>
    <v>-0.45</v>
    <v>-8.8070000000000006E-3</v>
    <v>-5.7940000000000005E-3</v>
    <v>-0.68</v>
    <v>USD</v>
    <v>MetLife, Inc. is a financial services company, providing insurance, annuities, employee benefits and asset management to individual and institutional customers. Its segments include Group Benefits; Retirement and Income Solutions (RIS); Asia; Latin America; Europe, the Middle East and Africa (EMEA); and MetLife Holdings. Group Benefits segment offers life insurance, dental, group short- and long-term disability, paid family and medical leave, individual disability, accidental death and dismemberment insurance, accident and health insurance, and vision, as well as prepaid legal plans and pet insurance. RIS segment provides funding and financing solutions that help institutional customers mitigate and manage liabilities primarily associated with their employee benefit programs using a spectrum of life and annuity-based insurance and investment products. It operates across EMEA in both developed (Western Europe) and emerging (Central and Eastern Europe, Middle East and Africa) markets.</v>
    <v>45000</v>
    <v>New York Stock Exchange</v>
    <v>XNYS</v>
    <v>XNYS</v>
    <v>200 Park Avenue, NEW YORK, NY, 10166 US</v>
    <v>77.52</v>
    <v>Insurance</v>
    <v>Stock</v>
    <v>45800.958333344533</v>
    <v>339</v>
    <v>75.94</v>
    <v>51830910000</v>
    <v>METLIFE, INC.</v>
    <v>METLIFE, INC.</v>
    <v>75.95</v>
    <v>12.6372</v>
    <v>77.66</v>
    <v>77.209999999999994</v>
    <v>76.53</v>
    <v>671297900</v>
    <v>MET</v>
    <v>METLIFE, INC. (XNYS:MET)</v>
    <v>2958694</v>
    <v>3013076</v>
    <v>1999</v>
  </rv>
  <rv s="4">
    <v>340</v>
  </rv>
  <rv s="0">
    <v>https://www.bing.com/financeapi/forcetrigger?t=a218k2&amp;q=XNYS%3aPRU&amp;form=skydnc</v>
    <v>Learn more on Bing</v>
  </rv>
  <rv s="5">
    <v>en-CA</v>
    <v>a218k2</v>
    <v>268435456</v>
    <v>1</v>
    <v>Powered by Refinitiv</v>
    <v>7</v>
    <v>PRUDENTIAL FINANCIAL, INC. (XNYS:PRU)</v>
    <v>8</v>
    <v>9</v>
    <v>Finance</v>
    <v>5</v>
    <v>130.5515</v>
    <v>90.38</v>
    <v>1.0535000000000001</v>
    <v>-0.4</v>
    <v>1.0105999999999999E-2</v>
    <v>-3.9090000000000001E-3</v>
    <v>1.03</v>
    <v>USD</v>
    <v>Prudential Financial, Inc. is a financial services provider and global investment manager. The Company offers a range of financial products and services, including life insurance, annuities, retirement-related products and services, mutual funds, and investment management. It offers these products and services to individual and institutional customers through its own and third-party distribution networks. It operates in the United States, Asia, Europe and Latin America. Its segment includes PGIM, U.S. Businesses, International Businesses, and Corporate and Other operations. The PGIM segment provides investment management services and solutions related to public fixed income, public equity, real estate debt and equity, private credit and other alternatives, and multi-asset class strategies, to institutional and retail clients and its general account. The U.S. Businesses segment consists of the retirement strategies, group insurance and individual life products.</v>
    <v>38196</v>
    <v>New York Stock Exchange</v>
    <v>XNYS</v>
    <v>XNYS</v>
    <v>751 BROAD ST, NEWARK, NJ, 07102 US</v>
    <v>102.44</v>
    <v>Insurance</v>
    <v>Stock</v>
    <v>45800.97589857578</v>
    <v>342</v>
    <v>100</v>
    <v>36079680000</v>
    <v>PRUDENTIAL FINANCIAL, INC.</v>
    <v>PRUDENTIAL FINANCIAL, INC.</v>
    <v>100.09</v>
    <v>16.192499999999999</v>
    <v>102.32</v>
    <v>101.92</v>
    <v>102.95</v>
    <v>354000000</v>
    <v>PRU</v>
    <v>PRUDENTIAL FINANCIAL, INC. (XNYS:PRU)</v>
    <v>1499942</v>
    <v>1675365</v>
    <v>1999</v>
  </rv>
  <rv s="4">
    <v>343</v>
  </rv>
  <rv s="0">
    <v>https://www.bing.com/financeapi/forcetrigger?t=a1mscw&amp;q=XNAS%3aACGL&amp;form=skydnc</v>
    <v>Learn more on Bing</v>
  </rv>
  <rv s="5">
    <v>en-CA</v>
    <v>a1mscw</v>
    <v>268435456</v>
    <v>1</v>
    <v>Powered by Refinitiv</v>
    <v>7</v>
    <v>ARCH CAPITAL GROUP LTD. (XNAS:ACGL)</v>
    <v>8</v>
    <v>9</v>
    <v>Finance</v>
    <v>5</v>
    <v>110.7512</v>
    <v>82.492500000000007</v>
    <v>0.52839999999999998</v>
    <v>0.1</v>
    <v>0</v>
    <v>1.0870000000000001E-3</v>
    <v>0</v>
    <v>USD</v>
    <v>Arch Capital Group Ltd. is a Bermuda-based company, which provides insurance, reinsurance and mortgage insurance through its subsidiaries. The insurance segment consists of the Company’s insurance underwriting units, which offer specialty product lines, including construction and national accounts; excess and surplus casualty; professional lines; programs; property, energy, marine and aviation; travel, accident and health; warranty and lenders solutions, and others (consisting of alternative markets, excess workers' compensation and surety business). The reinsurance segment consists of its reinsurance underwriting units, which offer specialty product lines, including casualty; marine and aviation; other specialty; property catastrophe; property excluding property catastrophe, and other (consisting of life reinsurance and other). The mortgage segment includes its United States primary mortgage insurance business, investment and services related to United States credit-risk transfer.</v>
    <v>7200</v>
    <v>Nasdaq Stock Market</v>
    <v>XNAS</v>
    <v>XNAS</v>
    <v>WATERLOO HOUSE, GROUND FLOOR, 100 PITTS BAY ROAD, PEMBROKE, HM 08 BM</v>
    <v>92.385000000000005</v>
    <v>Insurance</v>
    <v>Stock</v>
    <v>45800.868339524997</v>
    <v>345</v>
    <v>91.420100000000005</v>
    <v>34503650000</v>
    <v>ARCH CAPITAL GROUP LTD.</v>
    <v>ARCH CAPITAL GROUP LTD.</v>
    <v>91.69</v>
    <v>9.4352</v>
    <v>91.97</v>
    <v>92.07</v>
    <v>92.07</v>
    <v>374754500</v>
    <v>ACGL</v>
    <v>ARCH CAPITAL GROUP LTD. (XNAS:ACGL)</v>
    <v>977016</v>
    <v>1445107</v>
    <v>2000</v>
  </rv>
  <rv s="4">
    <v>346</v>
  </rv>
  <rv s="0">
    <v>https://www.bing.com/financeapi/forcetrigger?t=a1uou2&amp;q=XNYS%3aHIG&amp;form=skydnc</v>
    <v>Learn more on Bing</v>
  </rv>
  <rv s="5">
    <v>en-CA</v>
    <v>a1uou2</v>
    <v>268435456</v>
    <v>1</v>
    <v>Powered by Refinitiv</v>
    <v>7</v>
    <v>THE HARTFORD INSURANCE GROUP, INC. (XNYS:HIG)</v>
    <v>8</v>
    <v>9</v>
    <v>Finance</v>
    <v>5</v>
    <v>132.08500000000001</v>
    <v>98.16</v>
    <v>0.70630000000000004</v>
    <v>-0.13</v>
    <v>4.4990000000000004E-3</v>
    <v>-1.0070000000000001E-3</v>
    <v>0.57999999999999996</v>
    <v>USD</v>
    <v>The Hartford Insurance Group, Inc., formerly The Hartford Financial Services Group, Inc., is a holding company. The Company's segments include Business Insurance, Personal Insurance, Property &amp; Casualty Other Operations, Employee Benefits and Hartford Funds. Business Insurance segment provides a variety of insurance products and risk management services in the United States and internationally. Personal Insurance segment provides automobile, homeowners and personal umbrella coverage to individuals across the United States. Property &amp; Casualty Other Operations segment includes certain property and casualty operations. The Employee Benefits segment provides employers and associations with group life, accident and disability coverage, along with other products and services, including voluntary benefits, and group retiree health. Hartford Funds segment offers investment products for retail and retirement accounts and provides investment management, distribution and administrative services.</v>
    <v>19100</v>
    <v>New York Stock Exchange</v>
    <v>XNYS</v>
    <v>XNYS</v>
    <v>One Hartford Plaza, HARTFORD, CT, 06155 US</v>
    <v>129.31</v>
    <v>Insurance</v>
    <v>Stock</v>
    <v>45800.967835786716</v>
    <v>348</v>
    <v>127.8545</v>
    <v>36626560000</v>
    <v>THE HARTFORD INSURANCE GROUP, INC.</v>
    <v>THE HARTFORD INSURANCE GROUP, INC.</v>
    <v>128.35</v>
    <v>12.863099999999999</v>
    <v>129.05000000000001</v>
    <v>128.91999999999999</v>
    <v>129.5</v>
    <v>284103000</v>
    <v>HIG</v>
    <v>THE HARTFORD INSURANCE GROUP, INC. (XNYS:HIG)</v>
    <v>1472582</v>
    <v>1530388</v>
    <v>1985</v>
  </rv>
  <rv s="4">
    <v>349</v>
  </rv>
  <rv s="0">
    <v>https://www.bing.com/financeapi/forcetrigger?t=a25xgh&amp;q=XNAS%3aWTW&amp;form=skydnc</v>
    <v>Learn more on Bing</v>
  </rv>
  <rv s="5">
    <v>en-CA</v>
    <v>a25xgh</v>
    <v>268435456</v>
    <v>1</v>
    <v>Powered by Refinitiv</v>
    <v>7</v>
    <v>Willis Towers Watson Public Limited Company (XNAS:WTW)</v>
    <v>8</v>
    <v>9</v>
    <v>Finance</v>
    <v>5</v>
    <v>344.14</v>
    <v>248.08500000000001</v>
    <v>0.70169999999999999</v>
    <v>0.95</v>
    <v>-1.0808E-2</v>
    <v>3.0839999999999999E-3</v>
    <v>-3.34</v>
    <v>USD</v>
    <v>Willis Towers Watson Public Limited Company is a global advisory, broking and solutions company that provides data-driven, insight-led solutions in the areas of people, risk and capital. The Company’s segments include Health, Wealth &amp; Career (HWC) and Risk &amp; Broking (R&amp;B). The HWC segment provides an array of advice, broking, solutions and technology for employee benefit plans, institutional investors, compensation and career programs, and employee experience overall. Its portfolio of services supports the interrelated challenges that the management teams of its clients face across human resources (HR) and finance. It focuses on four key areas: Health, Wealth, Career and Benefits Delivery &amp; Outsourcing. The R&amp;B segment provides a range of risk advice, insurance brokerage and consulting services to clients ranging from small businesses to multinational corporations. Its R&amp;B segment includes two businesses: Corporate Risk &amp; Broking and Insurance Consulting and Technology.</v>
    <v>49000</v>
    <v>Nasdaq Stock Market</v>
    <v>XNAS</v>
    <v>XNAS</v>
    <v>51 Lime Street, LONDON, EC3M 7DQ GB</v>
    <v>309.52</v>
    <v>Insurance</v>
    <v>Stock</v>
    <v>45800.843220485935</v>
    <v>351</v>
    <v>304.52</v>
    <v>30639270000</v>
    <v>Willis Towers Watson Public Limited Company</v>
    <v>Willis Towers Watson Public Limited Company</v>
    <v>306.77999999999997</v>
    <v>0</v>
    <v>308.07</v>
    <v>309.02</v>
    <v>305.68</v>
    <v>99149790</v>
    <v>WTW</v>
    <v>Willis Towers Watson Public Limited Company (XNAS:WTW)</v>
    <v>372316</v>
    <v>658063</v>
    <v>2009</v>
  </rv>
  <rv s="4">
    <v>352</v>
  </rv>
  <rv s="0">
    <v>http://zh.wikipedia.org/wiki/OMX</v>
    <v>Wikipedia</v>
  </rv>
  <rv s="1">
    <v>0</v>
    <v>354</v>
  </rv>
  <rv s="2">
    <v>6</v>
    <v>https://www.bing.com/th?id=AMMS_ca29f5ea4bb769bc6f9c17b9fef790ab&amp;qlt=95</v>
    <v>355</v>
    <v>0</v>
    <v>https://www.bing.com/images/search?form=xlimg&amp;q=nasdaq+omx+group</v>
    <v>Image of NASDAQ, INC.</v>
  </rv>
  <rv s="0">
    <v>https://www.bing.com/financeapi/forcetrigger?t=a1ydc7&amp;q=XNAS%3aNDAQ&amp;form=skydnc</v>
    <v>Learn more on Bing</v>
  </rv>
  <rv s="3">
    <v>en-CA</v>
    <v>a1ydc7</v>
    <v>268435456</v>
    <v>1</v>
    <v>Powered by Refinitiv</v>
    <v>0</v>
    <v>NASDAQ, INC. (XNAS:NDAQ)</v>
    <v>3</v>
    <v>4</v>
    <v>Finance</v>
    <v>5</v>
    <v>84.15</v>
    <v>58.274999999999999</v>
    <v>1.0065999999999999</v>
    <v>0.56999999999999995</v>
    <v>2.6900000000000001E-3</v>
    <v>7.0190000000000001E-3</v>
    <v>0.22</v>
    <v>USD</v>
    <v>Nasdaq, Inc. is a global technology company serving corporate clients, investment managers, banks, brokers, and exchange operators as they navigate and interact with the global capital markets and the broader financial system. The Company manages, operates and provides its products and services in three business segments: Capital Access Platforms, Financial Technology and Market Services. Its Capital Access Platforms segment comprises Data &amp; Listing Services, Index and Workflow &amp; Insights. The Financial Technology segment comprises Financial Crime Management Technology, Regulatory Technology and Capital Markets Technology businesses. Its Market Services segment includes its equity derivative trading and clearing, cash equity trading, fixed income, currency and commodities trading. It operates over 19 exchanges across several asset classes, including derivatives, commodities, cash equity, debt, structured products and exchange-traded products (ETPs).</v>
    <v>9377</v>
    <v>Nasdaq Stock Market</v>
    <v>XNAS</v>
    <v>XNAS</v>
    <v>151 W. 42Nd Street, NEW YORK, NY, 10036 US</v>
    <v>82.31</v>
    <v>356</v>
    <v>Investment Banking &amp; Investment Services</v>
    <v>Stock</v>
    <v>45800.989951180469</v>
    <v>357</v>
    <v>80</v>
    <v>46951670000</v>
    <v>NASDAQ, INC.</v>
    <v>NASDAQ, INC.</v>
    <v>80.19</v>
    <v>36.826799999999999</v>
    <v>81.209999999999994</v>
    <v>81.78</v>
    <v>82</v>
    <v>574121600</v>
    <v>NDAQ</v>
    <v>NASDAQ, INC. (XNAS:NDAQ)</v>
    <v>3860017</v>
    <v>3735800</v>
    <v>1979</v>
  </rv>
  <rv s="4">
    <v>358</v>
  </rv>
  <rv s="0">
    <v>https://www.bing.com/financeapi/forcetrigger?t=a1ou77&amp;q=XNYS%3aBRO&amp;form=skydnc</v>
    <v>Learn more on Bing</v>
  </rv>
  <rv s="5">
    <v>en-CA</v>
    <v>a1ou77</v>
    <v>268435456</v>
    <v>1</v>
    <v>Powered by Refinitiv</v>
    <v>7</v>
    <v>BROWN &amp; BROWN, INC. (XNYS:BRO)</v>
    <v>8</v>
    <v>9</v>
    <v>Finance</v>
    <v>5</v>
    <v>125.675</v>
    <v>85.97</v>
    <v>0.84409999999999996</v>
    <v>0.39</v>
    <v>-2.9780000000000002E-3</v>
    <v>3.532E-3</v>
    <v>-0.33</v>
    <v>USD</v>
    <v>Brown &amp; Brown, Inc. is an insurance brokerage company engaged in delivering risk management solutions to individuals and businesses. It markets and sells insurance products and services, primarily in the property, casualty and employee benefits areas. Its segments include Retail, Programs, and Wholesale Brokerage. The Retail segment provides a range of insurance products and services to commercial, public and quasi-public, professional and individual insured customers, and non-insurance services and products through its automobile dealer services F&amp;I businesses. The Programs segment specializes in the development, underwriting and management of insurance program business, often designed for niche, underserved markets, and distributes these coverage to retail agencies, as well as affinity groups, wholesale entities and sold direct to consumers. Its Wholesale Brokerage segment markets and sells excess and surplus commercial insurance products and services to retail insurance agencies.</v>
    <v>17403</v>
    <v>New York Stock Exchange</v>
    <v>XNYS</v>
    <v>XNYS</v>
    <v>300 N. Beach Street, DAYTONA BEACH, FL, 32114 US</v>
    <v>111.36</v>
    <v>Insurance</v>
    <v>Stock</v>
    <v>45800.977025022657</v>
    <v>360</v>
    <v>109.755</v>
    <v>31761850000</v>
    <v>BROWN &amp; BROWN, INC.</v>
    <v>BROWN &amp; BROWN, INC.</v>
    <v>110.37</v>
    <v>30.8504</v>
    <v>110.43</v>
    <v>110.82</v>
    <v>110.49</v>
    <v>286607600</v>
    <v>BRO</v>
    <v>BROWN &amp; BROWN, INC. (XNYS:BRO)</v>
    <v>1210750</v>
    <v>1801894</v>
    <v>1959</v>
  </rv>
  <rv s="4">
    <v>361</v>
  </rv>
  <rv s="0">
    <v>https://www.bing.com/financeapi/forcetrigger?t=a23r27&amp;q=XNYS%3aSTT&amp;form=skydnc</v>
    <v>Learn more on Bing</v>
  </rv>
  <rv s="5">
    <v>en-CA</v>
    <v>a23r27</v>
    <v>268435456</v>
    <v>1</v>
    <v>Powered by Refinitiv</v>
    <v>7</v>
    <v>STATE STREET CORPORATION (XNYS:STT)</v>
    <v>8</v>
    <v>9</v>
    <v>Finance</v>
    <v>5</v>
    <v>103</v>
    <v>70.2</v>
    <v>1.4690000000000001</v>
    <v>-0.26</v>
    <v>0</v>
    <v>-2.6979999999999999E-3</v>
    <v>0</v>
    <v>USD</v>
    <v>State Street Corporation is a financial holding company. The Company, through its subsidiary, State Street Bank and Trust Company (State Street Bank), provides a range of financial products and services to institutional investors. It operates through two lines of business: Investment Servicing and Investment Management. Its Investment Servicing, through State Street Investment Services, State Street Global Markets, and State Street Alpha, provides investment services for clients, including mutual funds, collective investment funds and other investment pools. Its products include back-office products, such as custody, accounting, investor services, and others. Its Investment Management line of business, through State Street Global Advisors, provides a range of investment management strategies and products for its clients include across equity, fixed income, cash, multi-asset and alternatives, among others.</v>
    <v>52711</v>
    <v>New York Stock Exchange</v>
    <v>XNYS</v>
    <v>XNYS</v>
    <v>1 Congress Street, Suite 1, BOSTON, MA, 02114 US</v>
    <v>96.5</v>
    <v>Investment Banking &amp; Investment Services</v>
    <v>Stock</v>
    <v>45800.958333344533</v>
    <v>363</v>
    <v>94.19</v>
    <v>27733590000</v>
    <v>STATE STREET CORPORATION</v>
    <v>STATE STREET CORPORATION</v>
    <v>94.88</v>
    <v>10.816800000000001</v>
    <v>96.36</v>
    <v>96.1</v>
    <v>96.1</v>
    <v>288591000</v>
    <v>STT</v>
    <v>STATE STREET CORPORATION (XNYS:STT)</v>
    <v>1116330</v>
    <v>2112153</v>
    <v>1969</v>
  </rv>
  <rv s="4">
    <v>364</v>
  </rv>
  <rv s="0">
    <v>https://www.bing.com/financeapi/forcetrigger?t=a22227&amp;q=XNYS%3aRJF&amp;form=skydnc</v>
    <v>Learn more on Bing</v>
  </rv>
  <rv s="5">
    <v>en-CA</v>
    <v>a22227</v>
    <v>268435456</v>
    <v>1</v>
    <v>Powered by Refinitiv</v>
    <v>7</v>
    <v>RAYMOND JAMES FINANCIAL, INC. (XNYS:RJF)</v>
    <v>8</v>
    <v>9</v>
    <v>Finance</v>
    <v>5</v>
    <v>174.32</v>
    <v>104.235</v>
    <v>1.0435000000000001</v>
    <v>-1.1499999999999999</v>
    <v>-2.0639999999999998E-4</v>
    <v>-7.8510000000000003E-3</v>
    <v>-0.03</v>
    <v>USD</v>
    <v>Raymond James Financial, Inc. is a diversified financial services company that provides services to individuals, corporations and municipalities. The Company's segments include Private Client Group (PCG), Capital Markets, Asset Management, Bank and Other. PCG segment provides financial planning, investment advisory, and securities transaction services to clients through financial advisors. Capital Markets segment conducts investment banking, institutional sales, securities trading, equity research, and the syndication and management of investments in low-income housing funds and funds of a similar nature. Asset Management segment provides asset management, portfolio management and related administrative services to retail and institutional clients. Bank segment includes Raymond James Bank, a Florida-chartered state member bank, and TriState Capital Bank, a Pennsylvania-chartered state member bank. Other segment includes corporate cash balances and its private equity investments.</v>
    <v>19000</v>
    <v>New York Stock Exchange</v>
    <v>XNYS</v>
    <v>XNYS</v>
    <v>880 Carillon Pkwy, ST PETERSBURG, FL, 33716 US</v>
    <v>146.29</v>
    <v>Investment Banking &amp; Investment Services</v>
    <v>Stock</v>
    <v>45800.958333344533</v>
    <v>366</v>
    <v>142.94999999999999</v>
    <v>29318970000</v>
    <v>RAYMOND JAMES FINANCIAL, INC.</v>
    <v>RAYMOND JAMES FINANCIAL, INC.</v>
    <v>143.55000000000001</v>
    <v>14.1074</v>
    <v>146.47</v>
    <v>145.32</v>
    <v>145.29</v>
    <v>201754500</v>
    <v>RJF</v>
    <v>RAYMOND JAMES FINANCIAL, INC. (XNYS:RJF)</v>
    <v>639574</v>
    <v>1163764</v>
    <v>1974</v>
  </rv>
  <rv s="4">
    <v>367</v>
  </rv>
  <rv s="0">
    <v>https://www.bing.com/financeapi/forcetrigger?t=a1pap2&amp;q=BATS%3aCBOE&amp;form=skydnc</v>
    <v>Learn more on Bing</v>
  </rv>
  <rv s="5">
    <v>en-CA</v>
    <v>a1pap2</v>
    <v>268435456</v>
    <v>1</v>
    <v>Powered by Refinitiv</v>
    <v>7</v>
    <v>Cboe Global Markets, Inc. (BATS:CBOE)</v>
    <v>8</v>
    <v>9</v>
    <v>Finance</v>
    <v>36</v>
    <v>236.02</v>
    <v>166.13</v>
    <v>0.42609999999999998</v>
    <v>3.16</v>
    <v>-3.2819999999999998E-3</v>
    <v>1.3833999999999999E-2</v>
    <v>-0.76</v>
    <v>USD</v>
    <v>Cboe Global Markets, Inc. is a provider of derivatives and securities exchange networks, and delivers trading, clearing and investment solutions to customers. The Company operates through six segments. The Options segment includes options on market indices (index options), as well as on the stocks of individual corporations (equity options). The North American Equities segment includes United States equities and ETP transaction services. The Europe and Asia Pacific segments include the pan-European listed equities and derivatives transaction services, ETPs, exchange-traded commodities, and international depository receipts. The Futures segment includes transaction services provided by Cboe Futures Exchange, LLC (CFE), an electronic futures exchange that offers trading of VIX futures and other futures products. The Global FX segment includes institutional FX trading services. The Digital segment includes a regulated futures exchange (Cboe Digital Exchange) and a regulated clearinghouse.</v>
    <v>1685</v>
    <v>CBOE BZX Exchange</v>
    <v>BATS</v>
    <v>BATS</v>
    <v>433 WEST VAN BUREN STREET, CHICAGO, IL, 60607 US</v>
    <v>232.09</v>
    <v>Investment Banking &amp; Investment Services</v>
    <v>Stock</v>
    <v>45800.860756053124</v>
    <v>369</v>
    <v>226.58</v>
    <v>24249520000</v>
    <v>Cboe Global Markets, Inc.</v>
    <v>Cboe Global Markets, Inc.</v>
    <v>226.58</v>
    <v>62.533999999999999</v>
    <v>228.42</v>
    <v>231.58</v>
    <v>230.82</v>
    <v>104713300</v>
    <v>CBOE</v>
    <v>Cboe Global Markets, Inc. (BATS:CBOE)</v>
    <v>637635</v>
    <v>997757</v>
    <v>2006</v>
  </rv>
  <rv s="4">
    <v>370</v>
  </rv>
  <rv s="0">
    <v>http://it.wikipedia.org/wiki/T._Rowe_Price</v>
    <v>Wikipedia</v>
  </rv>
  <rv s="1">
    <v>0</v>
    <v>372</v>
  </rv>
  <rv s="2">
    <v>6</v>
    <v>https://www.bing.com/th?id=AMMS_4c600be848f66590834841f27e6f786d&amp;qlt=95</v>
    <v>373</v>
    <v>0</v>
    <v>https://www.bing.com/images/search?form=xlimg&amp;q=t.+rowe+price</v>
    <v>Image of T. ROWE PRICE GROUP, INC.</v>
  </rv>
  <rv s="0">
    <v>https://www.bing.com/financeapi/forcetrigger?t=a24i3m&amp;q=XNAS%3aTROW&amp;form=skydnc</v>
    <v>Learn more on Bing</v>
  </rv>
  <rv s="3">
    <v>en-CA</v>
    <v>a24i3m</v>
    <v>268435456</v>
    <v>1</v>
    <v>Powered by Refinitiv</v>
    <v>0</v>
    <v>T. ROWE PRICE GROUP, INC. (XNAS:TROW)</v>
    <v>3</v>
    <v>4</v>
    <v>Finance</v>
    <v>5</v>
    <v>125.8078</v>
    <v>77.849999999999994</v>
    <v>1.5228999999999999</v>
    <v>-1.44</v>
    <v>4.2785999999999998E-2</v>
    <v>-1.5245E-2</v>
    <v>3.98</v>
    <v>USD</v>
    <v>T. Rowe Price Group, Inc. is a financial services holding company that provides global investment advisory services to investors. It provides a range of investment solutions across equity, fixed income, multi-asset, and alternative capabilities for clients from individuals to advisors to institutions to retirement plan sponsors. It also provides certain investment advisory clients with related administrative services, including distribution, mutual fund transfer agent, accounting, and shareholder services; participant recordkeeping and transfer agent services for defined contribution retirement plans; brokerage; trust services, and non-discretionary advisory services through model delivery. It distributes its array of active investment solutions through a diverse set of distribution channels and vehicles. These vehicles include an array of U.S. mutual funds, collective investment trusts, exchange-traded funds, subadvised funds, separately managed accounts, and other sponsored products.</v>
    <v>8158</v>
    <v>Nasdaq Stock Market</v>
    <v>XNAS</v>
    <v>XNAS</v>
    <v>Harbor Point, 1307 Point Street, BALTIMORE, MD, 21231 US</v>
    <v>93.6</v>
    <v>374</v>
    <v>Investment Banking &amp; Investment Services</v>
    <v>Stock</v>
    <v>45800.960463008596</v>
    <v>375</v>
    <v>92.5</v>
    <v>20493800000</v>
    <v>T. ROWE PRICE GROUP, INC.</v>
    <v>T. ROWE PRICE GROUP, INC.</v>
    <v>92.51</v>
    <v>10.7182</v>
    <v>94.46</v>
    <v>93.02</v>
    <v>97</v>
    <v>220316100</v>
    <v>TROW</v>
    <v>T. ROWE PRICE GROUP, INC. (XNAS:TROW)</v>
    <v>1105532</v>
    <v>1957313</v>
    <v>2000</v>
  </rv>
  <rv s="4">
    <v>376</v>
  </rv>
  <rv s="0">
    <v>https://www.bing.com/financeapi/forcetrigger?t=a1pqur&amp;q=XNAS%3aCINF&amp;form=skydnc</v>
    <v>Learn more on Bing</v>
  </rv>
  <rv s="5">
    <v>en-CA</v>
    <v>a1pqur</v>
    <v>268435456</v>
    <v>1</v>
    <v>Powered by Refinitiv</v>
    <v>7</v>
    <v>CINCINNATI FINANCIAL CORPORATION (XNAS:CINF)</v>
    <v>8</v>
    <v>9</v>
    <v>Finance</v>
    <v>5</v>
    <v>161.745</v>
    <v>111.92</v>
    <v>0.77859999999999996</v>
    <v>0.53</v>
    <v>-1.0629E-2</v>
    <v>3.6480000000000002E-3</v>
    <v>-1.55</v>
    <v>USD</v>
    <v>Cincinnati Financial Corporation offers primarily business, home and auto insurance, its main business, through The Cincinnati Insurance Company and its two standard market property casualty companies. Its segments include Commercial lines insurance, Personal lines insurance, Excess and surplus lines insurance, Life insurance, and Investments. Commercial lines insurance segment’s business includes commercial casualty, commercial property, commercial auto, workers’ compensation, and other commercial lines. Personal Lines Insurance segment’s business includes personal auto, homeowner and other personal lines. Excess and Surplus Lines Insurance segment covers commercial casualty and commercial property. Life Insurance segment’s business includes term life insurance, worksite products, whole life insurance and universal life insurance. Investments segment invests the cash it generates from insurance operations in fixed-maturity investments, equity investments and short-term investments.</v>
    <v>5624</v>
    <v>Nasdaq Stock Market</v>
    <v>XNAS</v>
    <v>XNAS</v>
    <v>6200 S Gilmore Rd, FAIRFIELD, OH, 45014 US</v>
    <v>146.13999999999999</v>
    <v>Insurance</v>
    <v>Stock</v>
    <v>45800.843224756252</v>
    <v>378</v>
    <v>143.85</v>
    <v>22793760000</v>
    <v>CINCINNATI FINANCIAL CORPORATION</v>
    <v>CINCINNATI FINANCIAL CORPORATION</v>
    <v>144.13</v>
    <v>15.8505</v>
    <v>145.30000000000001</v>
    <v>145.83000000000001</v>
    <v>144.28</v>
    <v>156303600</v>
    <v>CINF</v>
    <v>CINCINNATI FINANCIAL CORPORATION (XNAS:CINF)</v>
    <v>329731</v>
    <v>602561</v>
    <v>1992</v>
  </rv>
  <rv s="4">
    <v>379</v>
  </rv>
  <rv s="0">
    <v>https://www.bing.com/financeapi/forcetrigger?t=a1ysr7&amp;q=XNAS%3aNTRS&amp;form=skydnc</v>
    <v>Learn more on Bing</v>
  </rv>
  <rv s="5">
    <v>en-CA</v>
    <v>a1ysr7</v>
    <v>268435456</v>
    <v>1</v>
    <v>Powered by Refinitiv</v>
    <v>7</v>
    <v>NORTHERN TRUST CORPORATION (XNAS:NTRS)</v>
    <v>8</v>
    <v>9</v>
    <v>Finance</v>
    <v>5</v>
    <v>114.67</v>
    <v>79.674999999999997</v>
    <v>1.2270000000000001</v>
    <v>-0.62</v>
    <v>1.0021E-2</v>
    <v>-5.8269999999999997E-3</v>
    <v>1.06</v>
    <v>USD</v>
    <v>Northern Trust Corporation is a provider of wealth management, asset servicing, asset management and banking to corporations, institutions, affluent families and individuals. The Company’s segments include Asset Servicing and Wealth Management. Asset Servicing is a global provider of asset servicing and related services to corporate and public retirement funds, foundations, endowments, fund managers, insurance companies, sovereign wealth funds, and other institutional investors around the globe. Asset servicing and related services encompass a full range of capabilities, including custody, fund administration, investment operations outsourcing, investment management, investment risk and analytical services, securities lending, and others. Wealth Management provides trust, investment management, custody, and philanthropic services; financial consulting; guardianship and estate administration; family business consulting; family financial education; brokerage services; and others.</v>
    <v>23400</v>
    <v>Nasdaq Stock Market</v>
    <v>XNAS</v>
    <v>XNAS</v>
    <v>50 S Lasalle St, CHICAGO, IL, 60603 US</v>
    <v>106.15</v>
    <v>Investment Banking &amp; Investment Services</v>
    <v>Stock</v>
    <v>45800.965631573439</v>
    <v>381</v>
    <v>104.09</v>
    <v>20578340000</v>
    <v>NORTHERN TRUST CORPORATION</v>
    <v>NORTHERN TRUST CORPORATION</v>
    <v>104.47</v>
    <v>9.9286999999999992</v>
    <v>106.4</v>
    <v>105.78</v>
    <v>106.84</v>
    <v>194539000</v>
    <v>NTRS</v>
    <v>NORTHERN TRUST CORPORATION (XNAS:NTRS)</v>
    <v>1159577</v>
    <v>1401803</v>
    <v>1971</v>
  </rv>
  <rv s="4">
    <v>382</v>
  </rv>
  <rv s="0">
    <v>https://www.bing.com/financeapi/forcetrigger?t=a25zz2&amp;q=XNYS%3aWRB&amp;form=skydnc</v>
    <v>Learn more on Bing</v>
  </rv>
  <rv s="5">
    <v>en-CA</v>
    <v>a25zz2</v>
    <v>268435456</v>
    <v>1</v>
    <v>Powered by Refinitiv</v>
    <v>7</v>
    <v>W. R. BERKLEY CORPORATION (XNYS:WRB)</v>
    <v>8</v>
    <v>9</v>
    <v>Finance</v>
    <v>5</v>
    <v>76.38</v>
    <v>50.217500000000001</v>
    <v>0.42530000000000001</v>
    <v>0.89</v>
    <v>0</v>
    <v>1.2329000000000001E-2</v>
    <v>0</v>
    <v>USD</v>
    <v>W. R. Berkley Corporation is an insurance holding company. It operates through two segments of the property casualty insurance business: Insurance and Reinsurance &amp; Monoline Excess. Its Insurance businesses underwrite predominantly commercial insurance business, including excess and surplus lines, admitted lines and specialty personal lines throughout the United States, as well as insurance business in Asia, Australia, Canada, Continental Europe, Mexico, Scandinavia, South America and the United Kingdom. Its Insurance segment consists of business units, including Acadia Insurance, Admiral Insurance, Berkley Accident and Health, Berkley Agribusiness and others. Its Reinsurance &amp; Monoline Excess segment offers reinsurance business on a facultative and treaty basis, primarily in the United States, United Kingdom, Continental Europe, Australia, the Asia-Pacific region and South Africa, as well as operations that solely retain risk on an excess basis and certain program management business.</v>
    <v>8606</v>
    <v>New York Stock Exchange</v>
    <v>XNYS</v>
    <v>XNYS</v>
    <v>475 Steamboat Road, GREENWICH, CT, 06830 US</v>
    <v>73.25</v>
    <v>Insurance</v>
    <v>Stock</v>
    <v>45800.958333356248</v>
    <v>384</v>
    <v>71.98</v>
    <v>27723320000</v>
    <v>W. R. BERKLEY CORPORATION</v>
    <v>W. R. BERKLEY CORPORATION</v>
    <v>72</v>
    <v>16.737400000000001</v>
    <v>72.19</v>
    <v>73.08</v>
    <v>73.08</v>
    <v>379355800</v>
    <v>WRB</v>
    <v>W. R. BERKLEY CORPORATION (XNYS:WRB)</v>
    <v>1261402</v>
    <v>1577910</v>
    <v>1970</v>
  </rv>
  <rv s="4">
    <v>385</v>
  </rv>
  <rv s="0">
    <v>https://www.bing.com/financeapi/forcetrigger?t=axxc6h&amp;q=XNAS%3aPFG&amp;form=skydnc</v>
    <v>Learn more on Bing</v>
  </rv>
  <rv s="5">
    <v>en-CA</v>
    <v>axxc6h</v>
    <v>268435456</v>
    <v>1</v>
    <v>Powered by Refinitiv</v>
    <v>7</v>
    <v>PRINCIPAL FINANCIAL GROUP, INC. (XNAS:PFG)</v>
    <v>8</v>
    <v>9</v>
    <v>Finance</v>
    <v>5</v>
    <v>91.974999999999994</v>
    <v>68.39</v>
    <v>1.0027999999999999</v>
    <v>-0.34</v>
    <v>0</v>
    <v>-4.3959999999999997E-3</v>
    <v>0</v>
    <v>USD</v>
    <v>Principal Financial Group, Inc. is a global financial company. The Company offers businesses, individuals, and institutional clients a range of financial products and services, including retirement, asset management and insurance, through its diverse family of financial services companies. The Company's segments include Retirement and Income Solutions, Principal Asset Management, and Benefits and Protection. The Retirement and Income Solutions segment offers workplace savings and retirement solutions, banking, trust and custodial services, individual variable annuities, and pension risk transfer, among others. The Principal Asset Management segment provides global investment solutions to institutional, retirement, retail, and high-net worth investors. The Benefits and Protection segment is organized into Specialty Benefits, which provides group dental, group life insurance, group disability insurance, supplemental health products, and individual disability and life insurance.</v>
    <v>19700</v>
    <v>Nasdaq Stock Market</v>
    <v>XNAS</v>
    <v>XNAS</v>
    <v>711 High Street, DES MOINES, IA, 50392 US</v>
    <v>77.489999999999995</v>
    <v>Insurance</v>
    <v>Stock</v>
    <v>45800.90204505781</v>
    <v>387</v>
    <v>76.06</v>
    <v>17264930000</v>
    <v>PRINCIPAL FINANCIAL GROUP, INC.</v>
    <v>PRINCIPAL FINANCIAL GROUP, INC.</v>
    <v>76.06</v>
    <v>16.592600000000001</v>
    <v>77.349999999999994</v>
    <v>77.010000000000005</v>
    <v>77.010000000000005</v>
    <v>224190800</v>
    <v>PFG</v>
    <v>PRINCIPAL FINANCIAL GROUP, INC. (XNAS:PFG)</v>
    <v>846029</v>
    <v>1425970</v>
    <v>2001</v>
  </rv>
  <rv s="4">
    <v>388</v>
  </rv>
  <rv s="0">
    <v>https://www.bing.com/financeapi/forcetrigger?t=a21tm7&amp;q=XNYS%3aRE&amp;form=skydnc</v>
    <v>Learn more on Bing</v>
  </rv>
  <rv s="5">
    <v>en-CA</v>
    <v>a21tm7</v>
    <v>268435456</v>
    <v>1</v>
    <v>Powered by Refinitiv</v>
    <v>7</v>
    <v>Everest Group, Ltd. (XNYS:EG)</v>
    <v>8</v>
    <v>9</v>
    <v>Finance</v>
    <v>5</v>
    <v>407.3</v>
    <v>320</v>
    <v>0.52559999999999996</v>
    <v>-0.36</v>
    <v>0</v>
    <v>-1.07E-3</v>
    <v>0</v>
    <v>USD</v>
    <v>Everest Group, Ltd. is a Bermuda-based underwriter. The Company provides property, casualty, and specialty reinsurance and insurance solutions. It operates through two operating segments: Reinsurance and Insurance. The Reinsurance operation writes property and casualty reinsurance and specialty lines of business, on both a treaty and facultative basis, through reinsurance brokers, as well as directly with ceding companies. Business is written in the United States (US), Bermuda, and Ireland offices, as well as through branches in Canada, Singapore, the United Kingdom (UK), and Switzerland. The Insurance operation writes property and casualty insurance directly and through brokers, including for surplus lines, and general agents within the US, Bermuda, Canada, Europe, Singapore, and South America through its offices in the US, Australia, Canada, Chile, Colombia, Mexico, Singapore, the UK, Ireland, and branches located in the UK, the Netherlands, France, Germany, and Spain.</v>
    <v>3037</v>
    <v>New York Stock Exchange</v>
    <v>XNYS</v>
    <v>XNYS</v>
    <v>Seon Place, 4Th Floor, 141 Front Street, HAMILTON, HM 19 BM</v>
    <v>337.41500000000002</v>
    <v>Insurance</v>
    <v>Stock</v>
    <v>45800.958333344533</v>
    <v>390</v>
    <v>331.34</v>
    <v>14289120000</v>
    <v>Everest Group, Ltd.</v>
    <v>Everest Group, Ltd.</v>
    <v>335.05</v>
    <v>17.129100000000001</v>
    <v>336.3</v>
    <v>335.94</v>
    <v>335.94</v>
    <v>42534730</v>
    <v>EG</v>
    <v>Everest Group, Ltd. (XNYS:EG)</v>
    <v>421507</v>
    <v>425905</v>
    <v>1999</v>
  </rv>
  <rv s="4">
    <v>391</v>
  </rv>
  <rv s="0">
    <v>https://www.bing.com/financeapi/forcetrigger?t=a1wpxm&amp;q=XNYS%3aL&amp;form=skydnc</v>
    <v>Learn more on Bing</v>
  </rv>
  <rv s="5">
    <v>en-CA</v>
    <v>a1wpxm</v>
    <v>268435456</v>
    <v>1</v>
    <v>Powered by Refinitiv</v>
    <v>7</v>
    <v>LOEWS CORPORATION (XNYS:L)</v>
    <v>8</v>
    <v>9</v>
    <v>Finance</v>
    <v>5</v>
    <v>92.42</v>
    <v>73.150000000000006</v>
    <v>0.70979999999999999</v>
    <v>0.28999999999999998</v>
    <v>0</v>
    <v>3.3110000000000001E-3</v>
    <v>0</v>
    <v>USD</v>
    <v>Loews Corporation is a holding company and has four reportable segments comprised of three individual consolidated operating subsidiaries: CNA Financial Corporation (CNA), Boardwalk Pipeline Partners, LP (Boardwalk Pipelines) and Loews Hotels Holding Corporation (Loews Hotels &amp; Co), and the Corporate segment. CNA is an insurance holding company. CNA's insurance products primarily include commercial property and casualty coverage, including surety. Boardwalk Pipelines is engaged in the business of transportation and storage of natural gas and natural gas liquids, olefins and other hydrocarbons. Boardwalk Pipelines also provides ethane supply and transportation services for industrial customers in Louisiana and Texas. The Loews Hotels segment is engaged in operating a chain of hotels. Loews Hotels &amp; Co, together with its subsidiaries, operates a chain of 25 hotels. The business also specializes in customized mid-and short-run packaging solutions.</v>
    <v>13000</v>
    <v>New York Stock Exchange</v>
    <v>XNYS</v>
    <v>XNYS</v>
    <v>9 West 57Th Street, NEW YORK, NY, 10019-2714 US</v>
    <v>88.2</v>
    <v>Insurance</v>
    <v>Stock</v>
    <v>45800.958333344533</v>
    <v>393</v>
    <v>86.82</v>
    <v>18428130000</v>
    <v>LOEWS CORPORATION</v>
    <v>LOEWS CORPORATION</v>
    <v>87.09</v>
    <v>14.389200000000001</v>
    <v>87.59</v>
    <v>87.88</v>
    <v>87.88</v>
    <v>209696500</v>
    <v>L</v>
    <v>LOEWS CORPORATION (XNYS:L)</v>
    <v>764043</v>
    <v>611051</v>
    <v>1969</v>
  </rv>
  <rv s="4">
    <v>394</v>
  </rv>
  <rv s="0">
    <v>https://www.bing.com/financeapi/forcetrigger?t=a1s64c&amp;q=XNAS%3aERIE&amp;form=skydnc</v>
    <v>Learn more on Bing</v>
  </rv>
  <rv s="5">
    <v>en-CA</v>
    <v>a1s64c</v>
    <v>268435456</v>
    <v>1</v>
    <v>Powered by Refinitiv</v>
    <v>7</v>
    <v>ERIE INDEMNITY COMPANY (XNAS:ERIE)</v>
    <v>8</v>
    <v>9</v>
    <v>Finance</v>
    <v>5</v>
    <v>547</v>
    <v>343.76</v>
    <v>0.3584</v>
    <v>0.04</v>
    <v>0</v>
    <v>1.147E-4</v>
    <v>0</v>
    <v>USD</v>
    <v>Erie Indemnity Company serves as the attorney-in-fact for the subscribers at the Erie Insurance Exchange (Exchange). The Exchange is a reciprocal insurer that writes property and casualty insurance. The Exchange has wholly owned property and casualty subsidiaries, including Erie Insurance Company, Erie Insurance Company of New York, Erie Insurance Property &amp; Casualty Company, and Flagship City Insurance Company. The Exchange also has a wholly owned life insurance company, Erie Family Life Insurance Company (EFL). Its primary function as attorney-in-fact is to perform policy issuance and renewal services on behalf of the subscribers at the Exchange. It also acts as attorney-in-fact on behalf of the subscribers at the Exchange with respect to all claims handling and investment management services, as well as the service provider for all claims handling, life insurance and investment management services for the Exchange's insurance subsidiaries (collectively, administrative services).</v>
    <v>6715</v>
    <v>Nasdaq Stock Market</v>
    <v>XNAS</v>
    <v>XNAS</v>
    <v>100 Erie Insurance Pl, ERIE, PA, 16530 US</v>
    <v>351.06</v>
    <v>Insurance</v>
    <v>Stock</v>
    <v>45800.847226203128</v>
    <v>396</v>
    <v>345.01</v>
    <v>18238710000</v>
    <v>ERIE INDEMNITY COMPANY</v>
    <v>ERIE INDEMNITY COMPANY</v>
    <v>345.01</v>
    <v>29.681699999999999</v>
    <v>348.76</v>
    <v>348.8</v>
    <v>348.8</v>
    <v>52289870</v>
    <v>ERIE</v>
    <v>ERIE INDEMNITY COMPANY (XNAS:ERIE)</v>
    <v>125929</v>
    <v>145807</v>
    <v>1925</v>
  </rv>
  <rv s="4">
    <v>397</v>
  </rv>
  <rv s="0">
    <v>https://www.bing.com/financeapi/forcetrigger?t=a24bpr&amp;q=XNYS%3aGL&amp;form=skydnc</v>
    <v>Learn more on Bing</v>
  </rv>
  <rv s="5">
    <v>en-CA</v>
    <v>a24bpr</v>
    <v>268435456</v>
    <v>1</v>
    <v>Powered by Refinitiv</v>
    <v>7</v>
    <v>GLOBE LIFE INC. (XNYS:GL)</v>
    <v>8</v>
    <v>9</v>
    <v>Finance</v>
    <v>5</v>
    <v>133.76</v>
    <v>76.550600000000003</v>
    <v>0.56759999999999999</v>
    <v>-0.15</v>
    <v>1.5242E-2</v>
    <v>-1.255E-3</v>
    <v>1.82</v>
    <v>USD</v>
    <v>Globe Life Inc. is an insurance holding company. Its primary subsidiaries are Globe Life And Accident Insurance Company, American Income Life Insurance Company, Liberty National Life Insurance Company, Family Heritage Life Insurance Company of America, and United American Insurance Company. The Company’s segments include life insurance, supplemental health insurance, and investments. Life insurance products include traditional whole life and term life insurance. The Company offers Medicare Supplement and limited-benefit supplemental health insurance products that include accident, cancer, critical illness, heart, intensive care, and other health products. These products are designed to supplement health coverage that applicants already own. Medicare Supplements are offered to enrollees in the traditional fee-for-service Medicare program. Medicare Supplement plans are standardized by federal regulation and are designed to pay deductibles and co-payments not paid by Medicare.</v>
    <v>3732</v>
    <v>New York Stock Exchange</v>
    <v>XNYS</v>
    <v>XNYS</v>
    <v>3700 South Stonebridge Drive, MCKINNEY, TX, 75070 US</v>
    <v>120.14</v>
    <v>Insurance</v>
    <v>Stock</v>
    <v>45800.958333344533</v>
    <v>399</v>
    <v>118.405</v>
    <v>9856445000</v>
    <v>GLOBE LIFE INC.</v>
    <v>GLOBE LIFE INC.</v>
    <v>118.55</v>
    <v>9.7265999999999995</v>
    <v>119.56</v>
    <v>119.41</v>
    <v>121.23</v>
    <v>82542880</v>
    <v>GL</v>
    <v>GLOBE LIFE INC. (XNYS:GL)</v>
    <v>385967</v>
    <v>680828</v>
    <v>1979</v>
  </rv>
  <rv s="4">
    <v>400</v>
  </rv>
  <rv s="0">
    <v>https://www.bing.com/financeapi/forcetrigger?t=a1n7mw&amp;q=XNYS%3aAIZ&amp;form=skydnc</v>
    <v>Learn more on Bing</v>
  </rv>
  <rv s="5">
    <v>en-CA</v>
    <v>a1n7mw</v>
    <v>268435456</v>
    <v>1</v>
    <v>Powered by Refinitiv</v>
    <v>7</v>
    <v>ASSURANT, INC. (XNYS:AIZ)</v>
    <v>8</v>
    <v>9</v>
    <v>Finance</v>
    <v>5</v>
    <v>230.55</v>
    <v>160.12</v>
    <v>0.59619999999999995</v>
    <v>3.5</v>
    <v>0</v>
    <v>1.8133E-2</v>
    <v>0</v>
    <v>USD</v>
    <v>Assurant, Inc. is a global protection company that partners with various brands to safeguard and service connected devices, homes and automobiles. It utilizes data-driven technology solutions to provide customer experiences. It operates in North America, Latin America, Europe and Asia Pacific through two operating segments: Global Lifestyle and Global Housing. Global Lifestyle segment provides mobile device solutions, extended service contracts and related services for consumer electronics and appliances and credit and other insurance products (referred to as Connected Living), and vehicle protection services, commercial equipment services and other related services (referred to as Global Automotive). Global Housing segment provides lender-placed homeowners, manufactured housing and flood insurance, as well as voluntary manufactured housing, condominium and homeowners insurance (referred to as Homeowners), and renters insurance and other products (referred to as Renters and Other).</v>
    <v>14200</v>
    <v>New York Stock Exchange</v>
    <v>XNYS</v>
    <v>XNYS</v>
    <v>260 INTERSTATE NORTH CIRCLE S.E., ATLANTA, GA, 30339 US</v>
    <v>196.74</v>
    <v>Insurance</v>
    <v>Stock</v>
    <v>45800.958333356248</v>
    <v>402</v>
    <v>190.17</v>
    <v>9964021000</v>
    <v>ASSURANT, INC.</v>
    <v>ASSURANT, INC.</v>
    <v>191.25</v>
    <v>15.0571</v>
    <v>193.02</v>
    <v>196.52</v>
    <v>196.52</v>
    <v>50702320</v>
    <v>AIZ</v>
    <v>ASSURANT, INC. (XNYS:AIZ)</v>
    <v>625283</v>
    <v>476649</v>
    <v>2003</v>
  </rv>
  <rv s="4">
    <v>403</v>
  </rv>
  <rv s="0">
    <v>https://www.bing.com/financeapi/forcetrigger?t=a1xonm&amp;q=XNAS%3aMKTX&amp;form=skydnc</v>
    <v>Learn more on Bing</v>
  </rv>
  <rv s="5">
    <v>en-CA</v>
    <v>a1xonm</v>
    <v>268435456</v>
    <v>1</v>
    <v>Powered by Refinitiv</v>
    <v>7</v>
    <v>MARKETAXESS HOLDINGS INC. (XNAS:MKTX)</v>
    <v>8</v>
    <v>9</v>
    <v>Finance</v>
    <v>5</v>
    <v>296.68</v>
    <v>186.84</v>
    <v>0.85540000000000005</v>
    <v>1.44</v>
    <v>2.2952E-2</v>
    <v>6.6540000000000002E-3</v>
    <v>5</v>
    <v>USD</v>
    <v>MarketAxess Holdings Inc. operates electronic trading platforms. The Company offers end-to-end trading solutions, including the operation of electronic platforms for the trading of fixed-income and other securities and related data, analytics compliance tools, post-trade services, automated trading services and technology services. The Company provides an Open Trading marketplace which offers an all-to-all trading solution in the global credit markets, creating a liquidity pool for a range of credit market participants. It leverages its diverse set of trading protocols, automated and algorithmic trading solutions, intelligent data and index products and a range of post-trade services to provide an end-to-end trading solution to its robust network of platform participants. The Company also provides several integrated and actionable data offerings, including CP+ and Axess All, to assist clients. Its RFQ-hub platform is a bilateral multi-asset and multi-dealer request for quote platform.</v>
    <v>891</v>
    <v>Nasdaq Stock Market</v>
    <v>XNAS</v>
    <v>XNAS</v>
    <v>55 Hudson Yards, 15Th Floor, NEW YORK, NY, 10001 US</v>
    <v>219.23</v>
    <v>Investment Banking &amp; Investment Services</v>
    <v>Stock</v>
    <v>45800.945552916404</v>
    <v>405</v>
    <v>214.61</v>
    <v>8169737000</v>
    <v>MARKETAXESS HOLDINGS INC.</v>
    <v>MARKETAXESS HOLDINGS INC.</v>
    <v>216.83</v>
    <v>37.580800000000004</v>
    <v>216.41</v>
    <v>217.85</v>
    <v>222.85</v>
    <v>37501660</v>
    <v>MKTX</v>
    <v>MARKETAXESS HOLDINGS INC. (XNAS:MKTX)</v>
    <v>317877</v>
    <v>529330</v>
    <v>2000</v>
  </rv>
  <rv s="4">
    <v>406</v>
  </rv>
  <rv s="0">
    <v>https://www.bing.com/financeapi/forcetrigger?t=a1vwxm&amp;q=XNYS%3aIVZ&amp;form=skydnc</v>
    <v>Learn more on Bing</v>
  </rv>
  <rv s="5">
    <v>en-CA</v>
    <v>a1vwxm</v>
    <v>268435456</v>
    <v>1</v>
    <v>Powered by Refinitiv</v>
    <v>7</v>
    <v>INVESCO LTD (XNYS:IVZ)</v>
    <v>8</v>
    <v>9</v>
    <v>Finance</v>
    <v>5</v>
    <v>19.55</v>
    <v>11.6</v>
    <v>1.4641</v>
    <v>-0.2</v>
    <v>-6.9540000000000001E-3</v>
    <v>-1.3717E-2</v>
    <v>-0.1</v>
    <v>USD</v>
    <v>Invesco Ltd. is an independent investment management firm. It serves the retail and institutional markets within the investment management industry in the Americas, Europe, Middle East, and Africa and Asia-Pacific in 120 countries. It offers a range of investment strategies across asset classes, investment styles, and geographies. Its asset classes include equity, fixed income, balanced, alternatives and money market. Its retail assets under management include mutual funds, exchange-traded funds, separately managed accounts, individual savings accounts, investment companies with variable capital, investment trusts, open-end mutual funds, unit investment trusts, and variable insurance funds. Its institutional assets include institutional separate accounts, private funds, open-end mutual funds, and collective trust funds. Its client base includes public and private entities, unions, non-profit organizations, endowments, foundations, financial institutions, and sovereign wealth funds.</v>
    <v>8495</v>
    <v>New York Stock Exchange</v>
    <v>XNYS</v>
    <v>XNYS</v>
    <v>1331 SPRING STREET NW, SUITE 2500, ATLANTA, GA, 30309 US</v>
    <v>14.494999999999999</v>
    <v>Investment Banking &amp; Investment Services</v>
    <v>Stock</v>
    <v>45800.982542765625</v>
    <v>408</v>
    <v>14.1</v>
    <v>6435859000</v>
    <v>INVESCO LTD</v>
    <v>INVESCO LTD</v>
    <v>14.19</v>
    <v>11.6784</v>
    <v>14.58</v>
    <v>14.38</v>
    <v>14.28</v>
    <v>447556300</v>
    <v>IVZ</v>
    <v>INVESCO LTD (XNYS:IVZ)</v>
    <v>4199117</v>
    <v>5098643</v>
    <v>2007</v>
  </rv>
  <rv s="4">
    <v>409</v>
  </rv>
  <rv s="0">
    <v>https://www.bing.com/financeapi/forcetrigger?t=a1odgh&amp;q=XNYS%3aBEN&amp;form=skydnc</v>
    <v>Learn more on Bing</v>
  </rv>
  <rv s="5">
    <v>en-CA</v>
    <v>a1odgh</v>
    <v>268435456</v>
    <v>1</v>
    <v>Powered by Refinitiv</v>
    <v>7</v>
    <v>FRANKLIN RESOURCES, INC. (XNYS:BEN)</v>
    <v>8</v>
    <v>9</v>
    <v>Finance</v>
    <v>5</v>
    <v>24.364999999999998</v>
    <v>16.25</v>
    <v>1.456</v>
    <v>-0.1</v>
    <v>-9.2979999999999994E-4</v>
    <v>-4.627E-3</v>
    <v>-0.02</v>
    <v>USD</v>
    <v>Franklin Resources, Inc. is a global investment management company with subsidiaries operating as Franklin Templeton and serving clients in over 150 countries. Through its specialist investment managers, the Company offers specialization on a global scale, bringing capabilities in equity, fixed income, alternatives and multi-asset solutions. It provides its investment management and related services to retail, institutional and high-net-worth investors in jurisdictions worldwide. Its investment products include its sponsored funds, as well as institutional and high-net-worth separate accounts, retail separately managed account programs, sub-advised products, and other investment vehicles. Its funds include registered funds (including exchange-traded funds) and unregistered funds. It offers its services and products under its various distinct brand names, including, but not limited to, Alcentra, Benefit Street Partners, Brandywine Global Investment Management, Canvas, and others.</v>
    <v>10000</v>
    <v>New York Stock Exchange</v>
    <v>XNYS</v>
    <v>XNYS</v>
    <v>One Franklin Parkway, Building 920/2, SAN MATEO, CA, 94403 US</v>
    <v>21.605</v>
    <v>Investment Banking &amp; Investment Services</v>
    <v>Stock</v>
    <v>45800.958333367969</v>
    <v>411</v>
    <v>21.144200000000001</v>
    <v>11303960000</v>
    <v>FRANKLIN RESOURCES, INC.</v>
    <v>FRANKLIN RESOURCES, INC.</v>
    <v>21.24</v>
    <v>31.293399999999998</v>
    <v>21.61</v>
    <v>21.51</v>
    <v>21.49</v>
    <v>525521300</v>
    <v>BEN</v>
    <v>FRANKLIN RESOURCES, INC. (XNYS:BEN)</v>
    <v>3288665</v>
    <v>4770874</v>
    <v>1969</v>
  </rv>
  <rv s="4">
    <v>412</v>
  </rv>
  <rv s="0">
    <v>https://www.bing.com/financeapi/forcetrigger?t=a23d9c&amp;q=XNYS%3aSPGI&amp;form=skydnc</v>
    <v>Learn more on Bing</v>
  </rv>
  <rv s="5">
    <v>en-CA</v>
    <v>a23d9c</v>
    <v>268435456</v>
    <v>1</v>
    <v>Powered by Refinitiv</v>
    <v>7</v>
    <v>S&amp;P Global Inc. (XNYS:SPGI)</v>
    <v>8</v>
    <v>9</v>
    <v>Finance</v>
    <v>5</v>
    <v>545.39</v>
    <v>419.49</v>
    <v>1.2055</v>
    <v>-1.3</v>
    <v>-1.804E-3</v>
    <v>-2.542E-3</v>
    <v>-0.92</v>
    <v>USD</v>
    <v>S&amp;P Global Inc. provides essential intelligence. Its operations consist of five businesses: S&amp;P Global Market Intelligence (Market Intelligence), S&amp;P Global Ratings (Ratings), S&amp;P Global Commodity Insights (Commodity Insights), S&amp;P Global Mobility (Mobility) and S&amp;P Dow Jones Indices (Indices). Market Intelligence is a global provider of multi-asset-class data and analytics integrated with purpose-built workflow solutions. Ratings is an independent provider of credit ratings, research, and analytics, offering investors and other market participants information, ratings and benchmarks. Commodity Insights is an independent provider of information and benchmark prices for the commodity and energy markets. Mobility is a provider of solutions serving the full automotive value chain, including vehicle manufacturers and retailers. Indices is a global index provider that maintains a variety of valuation and index benchmarks for investment advisors, wealth managers and institutional investors.</v>
    <v>42350</v>
    <v>New York Stock Exchange</v>
    <v>XNYS</v>
    <v>XNYS</v>
    <v>55 Water Street, NEW YORK, NY, 10041 US</v>
    <v>512.74</v>
    <v>Professional &amp; Commercial Services</v>
    <v>Stock</v>
    <v>45800.99896493047</v>
    <v>414</v>
    <v>506.65</v>
    <v>156423100000</v>
    <v>S&amp;P Global Inc.</v>
    <v>S&amp;P Global Inc.</v>
    <v>507.11</v>
    <v>40.1464</v>
    <v>511.32</v>
    <v>510.02</v>
    <v>509.1</v>
    <v>306700000</v>
    <v>SPGI</v>
    <v>S&amp;P Global Inc. (XNYS:SPGI)</v>
    <v>1293986</v>
    <v>1223714</v>
    <v>1925</v>
  </rv>
  <rv s="4">
    <v>415</v>
  </rv>
  <rv s="0">
    <v>https://www.bing.com/financeapi/forcetrigger?t=a21uim&amp;q=XNAS%3aREGN&amp;form=skydnc</v>
    <v>Learn more on Bing</v>
  </rv>
  <rv s="5">
    <v>en-CA</v>
    <v>a21uim</v>
    <v>268435456</v>
    <v>1</v>
    <v>Powered by Refinitiv</v>
    <v>7</v>
    <v>REGENERON PHARMACEUTICALS, INC. (XNAS:REGN)</v>
    <v>8</v>
    <v>9</v>
    <v>Finance</v>
    <v>5</v>
    <v>1211.1999000000001</v>
    <v>520.5</v>
    <v>0.37869999999999998</v>
    <v>-8.51</v>
    <v>3.6709999999999998E-3</v>
    <v>-1.4258E-2</v>
    <v>2.16</v>
    <v>USD</v>
    <v>Regeneron Pharmaceuticals, Inc. is a fully integrated biotechnology company. The Company invents, develops, manufactures, and commercializes medicines for people with serious diseases. Its products and product candidates in development are designed to help patients with eye diseases, allergic and inflammatory diseases, cancer, cardiovascular and metabolic diseases, neurological diseases, hematologic conditions, infectious diseases, and rare diseases. The Company is accelerating drug development using its proprietary technologies, such as VelociSuite, which produces optimized fully human antibodies and new classes of bispecific antibodies. VelociSuite consists of VelocImmune, VelociGene, VelociMouse, VelociMab, Veloci-Bi, VelociT, VelociHum, and other related technologies. Its marketed products include EYLEA (aflibercept); Dupixent (dupilumab); Libtayo (cemiplimab); Ordspono (odronextamab); Kevzara (sarilumab); Itepekimab; Linvoseltamab, and others.</v>
    <v>15106</v>
    <v>Nasdaq Stock Market</v>
    <v>XNAS</v>
    <v>XNAS</v>
    <v>777 Old Saw Mill River Road, TARRYTOWN, NY, 10591 US</v>
    <v>591.64</v>
    <v>Biotechnology &amp; Medical Research</v>
    <v>Stock</v>
    <v>45800.972744154686</v>
    <v>417</v>
    <v>582.37</v>
    <v>63520420000</v>
    <v>REGENERON PHARMACEUTICALS, INC.</v>
    <v>REGENERON PHARMACEUTICALS, INC.</v>
    <v>586.85</v>
    <v>15.187200000000001</v>
    <v>596.85</v>
    <v>588.34</v>
    <v>590.5</v>
    <v>107965500</v>
    <v>REGN</v>
    <v>REGENERON PHARMACEUTICALS, INC. (XNAS:REGN)</v>
    <v>656257</v>
    <v>1306337</v>
    <v>1988</v>
  </rv>
  <rv s="4">
    <v>418</v>
  </rv>
  <rv s="0">
    <v>https://www.bing.com/financeapi/forcetrigger?t=aw2c52&amp;q=XNYS%3aIQV&amp;form=skydnc</v>
    <v>Learn more on Bing</v>
  </rv>
  <rv s="5">
    <v>en-CA</v>
    <v>aw2c52</v>
    <v>268435456</v>
    <v>1</v>
    <v>Powered by Refinitiv</v>
    <v>7</v>
    <v>IQVIA HOLDINGS INC (XNYS:IQV)</v>
    <v>8</v>
    <v>9</v>
    <v>Finance</v>
    <v>5</v>
    <v>252.88</v>
    <v>134.64500000000001</v>
    <v>1.3089999999999999</v>
    <v>-1.04</v>
    <v>5.4739999999999997E-3</v>
    <v>-7.5339999999999999E-3</v>
    <v>0.75</v>
    <v>USD</v>
    <v>IQVIA Holdings Inc. is a global provider of clinical research services, commercial insights and healthcare intelligence to the life sciences and healthcare industries. Its segments include Technology &amp; Analytics Solutions, Research &amp; Development Solutions and Contract Sales &amp; Medical Solutions. The Technology &amp; Analytics Solutions segment provides mission-critical information, technology solutions and real-world insights and services to the Company’s life science clients. The Research &amp; Development Solutions segment primarily serves biopharmaceutical customers, and provides outsourced clinical research and clinical trial-related services. The Contract Sales &amp; Medical Solutions segment provides healthcare provider (including contract sales) and patient engagement services to both biopharmaceutical customers and the broader healthcare market. It offers a set of strategic and implementation consulting services, including advanced analytics and commercial processes outsourcing services.</v>
    <v>89000</v>
    <v>New York Stock Exchange</v>
    <v>XNYS</v>
    <v>XNYS</v>
    <v>2400 ELLIS ROAD, DURHAM, NC, 27703 US</v>
    <v>137.88</v>
    <v>Biotechnology &amp; Medical Research</v>
    <v>Stock</v>
    <v>45800.980058657035</v>
    <v>420</v>
    <v>134.64500000000001</v>
    <v>23701000000</v>
    <v>IQVIA HOLDINGS INC</v>
    <v>IQVIA HOLDINGS INC</v>
    <v>135.96</v>
    <v>18.8096</v>
    <v>138.04</v>
    <v>137</v>
    <v>137.75</v>
    <v>173000000</v>
    <v>IQV</v>
    <v>IQVIA HOLDINGS INC (XNYS:IQV)</v>
    <v>2248710</v>
    <v>2473112</v>
    <v>2016</v>
  </rv>
  <rv s="4">
    <v>421</v>
  </rv>
  <rv s="0">
    <v>https://www.bing.com/financeapi/forcetrigger?t=bo5fpr&amp;q=XNAS%3aMRNA&amp;form=skydnc</v>
    <v>Learn more on Bing</v>
  </rv>
  <rv s="5">
    <v>en-CA</v>
    <v>bo5fpr</v>
    <v>268435456</v>
    <v>1</v>
    <v>Powered by Refinitiv</v>
    <v>7</v>
    <v>MODERNA, INC. (XNAS:MRNA)</v>
    <v>8</v>
    <v>9</v>
    <v>Finance</v>
    <v>5</v>
    <v>170.47</v>
    <v>23.15</v>
    <v>1.8922000000000001</v>
    <v>-0.46</v>
    <v>1.9040000000000001E-3</v>
    <v>-1.7215999999999999E-2</v>
    <v>0.05</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26.489899999999999</v>
    <v>Biotechnology &amp; Medical Research</v>
    <v>Stock</v>
    <v>45800.999879953124</v>
    <v>423</v>
    <v>25.55</v>
    <v>10152710000</v>
    <v>MODERNA, INC.</v>
    <v>MODERNA, INC.</v>
    <v>26.15</v>
    <v>0</v>
    <v>26.72</v>
    <v>26.26</v>
    <v>26.31</v>
    <v>386622600</v>
    <v>MRNA</v>
    <v>MODERNA, INC. (XNAS:MRNA)</v>
    <v>8258832</v>
    <v>11413736</v>
    <v>2016</v>
  </rv>
  <rv s="4">
    <v>424</v>
  </rv>
  <rv s="0">
    <v>https://www.bing.com/financeapi/forcetrigger?t=a243pr&amp;q=XNAS%3aTECH&amp;form=skydnc</v>
    <v>Learn more on Bing</v>
  </rv>
  <rv s="5">
    <v>en-CA</v>
    <v>a243pr</v>
    <v>268435456</v>
    <v>1</v>
    <v>Powered by Refinitiv</v>
    <v>7</v>
    <v>BIO-TECHNE CORPORATION (XNAS:TECH)</v>
    <v>8</v>
    <v>9</v>
    <v>Finance</v>
    <v>5</v>
    <v>83.96</v>
    <v>46.01</v>
    <v>1.3957999999999999</v>
    <v>-0.54</v>
    <v>3.1424000000000001E-2</v>
    <v>-1.1412E-2</v>
    <v>1.47</v>
    <v>USD</v>
    <v>Bio-Techne Corporation is a global life sciences company providing tools and bioactive reagents for the research and clinical diagnostic communities. The Company's products assist scientific investigations into biological processes and the nature and progress of specific diseases. The Company, in partnership with Wilson Wolf, is creating products such as media and cytokines that are specifically tailored to G-Rex Bioreactors. Its segments include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The Diagnostics and Genomics segment develops and manufactures diagnostic products, including controls, calibrators, and diagnostic assays for the regulated diagnostics market, exosome-based molecular diagnostic assays, and tissue biopsy analysis.</v>
    <v>3100</v>
    <v>Nasdaq Stock Market</v>
    <v>XNAS</v>
    <v>XNAS</v>
    <v>614 MCKINLEY PL N E, MINNEAPOLIS, MN, 55413 US</v>
    <v>46.97</v>
    <v>Biotechnology &amp; Medical Research</v>
    <v>Stock</v>
    <v>45800.961125902344</v>
    <v>426</v>
    <v>46.204999999999998</v>
    <v>7333574000</v>
    <v>BIO-TECHNE CORPORATION</v>
    <v>BIO-TECHNE CORPORATION</v>
    <v>46.24</v>
    <v>57.679900000000004</v>
    <v>47.32</v>
    <v>46.78</v>
    <v>48.25</v>
    <v>156767300</v>
    <v>TECH</v>
    <v>BIO-TECHNE CORPORATION (XNAS:TECH)</v>
    <v>1471200</v>
    <v>2301142</v>
    <v>1981</v>
  </rv>
  <rv s="4">
    <v>427</v>
  </rv>
  <rv s="0">
    <v>https://www.bing.com/financeapi/forcetrigger?t=a1qbxm&amp;q=XNYS%3aCRL&amp;form=skydnc</v>
    <v>Learn more on Bing</v>
  </rv>
  <rv s="6">
    <v>en-CA</v>
    <v>a1qbxm</v>
    <v>268435456</v>
    <v>1</v>
    <v>Powered by Refinitiv</v>
    <v>10</v>
    <v>CHARLES RIVER LABORATORIES INTERNATIONAL, INC. (XNYS:CRL)</v>
    <v>8</v>
    <v>11</v>
    <v>Finance</v>
    <v>5</v>
    <v>254.15</v>
    <v>91.860900000000001</v>
    <v>1.4771000000000001</v>
    <v>1.1299999999999999</v>
    <v>2.7573E-2</v>
    <v>8.3330000000000001E-3</v>
    <v>3.77</v>
    <v>USD</v>
    <v>Charles River Laboratories International, Inc. is a drug development company. It provides essential products and services to help pharmaceutical and biotechnology companies, government agencies and academic institutions around the globe accelerate their research and drug development efforts. Its Research Models and Services segment includes three businesses that provide foundational tools that enable its clients to discover new molecules: Research Models, Research Model Services, and Cell Solutions. Its Discovery and Safety Assessment segment provides regulated and non-regulated DSA services to support the research, development, and regulatory-required safety testing of potential new drugs, including therapeutic discovery and optimization plus in vitro and in vivo studies, laboratory support services, and strategic non-clinical consulting and program management to support product development. Its Manufacturing Solutions segment includes Microbial Solutions and Biologics Solutions.</v>
    <v>18600</v>
    <v>New York Stock Exchange</v>
    <v>XNYS</v>
    <v>XNYS</v>
    <v>251 Ballardvale St, WILMINGTON, MA, 01887 US</v>
    <v>137</v>
    <v>Biotechnology &amp; Medical Research</v>
    <v>Stock</v>
    <v>45800.958333356248</v>
    <v>429</v>
    <v>133.85</v>
    <v>6715591000</v>
    <v>CHARLES RIVER LABORATORIES INTERNATIONAL, INC.</v>
    <v>CHARLES RIVER LABORATORIES INTERNATIONAL, INC.</v>
    <v>134.21</v>
    <v>135.6</v>
    <v>136.72999999999999</v>
    <v>140.5</v>
    <v>49115710</v>
    <v>CRL</v>
    <v>CHARLES RIVER LABORATORIES INTERNATIONAL, INC. (XNYS:CRL)</v>
    <v>775603</v>
    <v>1596596</v>
    <v>1994</v>
  </rv>
  <rv s="4">
    <v>430</v>
  </rv>
  <rv s="0">
    <v>https://www.bing.com/financeapi/forcetrigger?t=a22xk2&amp;q=XNYS%3aSHW&amp;form=skydnc</v>
    <v>Learn more on Bing</v>
  </rv>
  <rv s="5">
    <v>en-CA</v>
    <v>a22xk2</v>
    <v>268435456</v>
    <v>1</v>
    <v>Powered by Refinitiv</v>
    <v>7</v>
    <v>THE SHERWIN-WILLIAMS COMPANY (XNYS:SHW)</v>
    <v>8</v>
    <v>9</v>
    <v>Finance</v>
    <v>5</v>
    <v>400.42</v>
    <v>282.08999999999997</v>
    <v>1.2191000000000001</v>
    <v>-0.43</v>
    <v>1.5234000000000001E-2</v>
    <v>-1.2180000000000001E-3</v>
    <v>5.37</v>
    <v>USD</v>
    <v>The Sherwin-Williams Company is engaged in the manufacture, development, distribution, and sale of paint, coatings and related products to professional, industrial, commercial, and retail customers primarily in North and South America with additional operations in the Caribbean region, Europe, Asia and Australia. Its Paint Stores Group segment is engaged in servicing the needs of architectural and industrial paint contractors and do-it-yourself homeowners. The Consumer Brands Group segment manufactures and distributes a broad portfolio of branded and private-label architectural paint, stains, varnishes, industrial products, wood finishes products, wood preservatives, applicators, corrosion inhibitors, aerosols, caulks and adhesives to retailers, including home centers and hardware stores, dedicated dealers and distributors. The Performance Coatings Group segment develops and sells industrial coatings for wood finishing and general industrial (metal and plastic) applications and others.</v>
    <v>63890</v>
    <v>New York Stock Exchange</v>
    <v>XNYS</v>
    <v>XNYS</v>
    <v>101 Prospect Ave Nw, CLEVELAND, OH, 44115 US</v>
    <v>353.58</v>
    <v>Chemicals</v>
    <v>Stock</v>
    <v>45800.958333344533</v>
    <v>432</v>
    <v>348.08499999999998</v>
    <v>88339210000</v>
    <v>THE SHERWIN-WILLIAMS COMPANY</v>
    <v>THE SHERWIN-WILLIAMS COMPANY</v>
    <v>350.8</v>
    <v>33.369599999999998</v>
    <v>352.94</v>
    <v>352.51</v>
    <v>357.88</v>
    <v>250600600</v>
    <v>SHW</v>
    <v>THE SHERWIN-WILLIAMS COMPANY (XNYS:SHW)</v>
    <v>1018257</v>
    <v>1514574</v>
    <v>1884</v>
  </rv>
  <rv s="4">
    <v>433</v>
  </rv>
  <rv s="0">
    <v>https://www.bing.com/financeapi/forcetrigger?t=a1nl77&amp;q=XNYS%3aAPD&amp;form=skydnc</v>
    <v>Learn more on Bing</v>
  </rv>
  <rv s="5">
    <v>en-CA</v>
    <v>a1nl77</v>
    <v>268435456</v>
    <v>1</v>
    <v>Powered by Refinitiv</v>
    <v>7</v>
    <v>AIR PRODUCTS AND CHEMICALS, INC. (XNYS:APD)</v>
    <v>8</v>
    <v>9</v>
    <v>Finance</v>
    <v>5</v>
    <v>341.14</v>
    <v>243.69210000000001</v>
    <v>0.87180000000000002</v>
    <v>0.6</v>
    <v>-9.4870000000000006E-3</v>
    <v>2.2279999999999999E-3</v>
    <v>-2.56</v>
    <v>USD</v>
    <v>Air Products and Chemicals, Inc. is an industrial gases company. The Company is focused on serving energy, environmental, and emerging markets. Its base business provides essential industrial gases, related equipment and applications expertise to customers in dozens of industries, including refining, chemicals, metals, electronics, manufacturing, and food. The Company also develops, engineers, builds, owns and operates clean hydrogen projects supporting the transition to low- and zero-carbon energy in the heavy-duty transportation and industrial sectors. In addition, the Company provides turbomachinery, membrane systems and cryogenic containers globally. The Company has operations in approximately 50 countries. Its industries include aerospace, analytical labs &amp; research/science, automotive, beverages, bioenergy, biotechnology, cement and lime, chemicals, electronics, food, glass and frit, hydrogen energy, medical, metals and materials processing, metals production, medical and others.</v>
    <v>23000</v>
    <v>New York Stock Exchange</v>
    <v>XNYS</v>
    <v>XNYS</v>
    <v>1940 Air Products Blvd., ALLENTOWN, PA, 18106-5500 US</v>
    <v>270.84500000000003</v>
    <v>Chemicals</v>
    <v>Stock</v>
    <v>45800.958333356248</v>
    <v>435</v>
    <v>266.83999999999997</v>
    <v>60051330000</v>
    <v>AIR PRODUCTS AND CHEMICALS, INC.</v>
    <v>AIR PRODUCTS AND CHEMICALS, INC.</v>
    <v>267.04000000000002</v>
    <v>38.778100000000002</v>
    <v>269.24</v>
    <v>269.83999999999997</v>
    <v>267.27999999999997</v>
    <v>222544200</v>
    <v>APD</v>
    <v>AIR PRODUCTS AND CHEMICALS, INC. (XNYS:APD)</v>
    <v>527583</v>
    <v>1250523</v>
    <v>1961</v>
  </rv>
  <rv s="4">
    <v>436</v>
  </rv>
  <rv s="0">
    <v>https://www.bing.com/financeapi/forcetrigger?t=a1rlu2&amp;q=XNYS%3aECL&amp;form=skydnc</v>
    <v>Learn more on Bing</v>
  </rv>
  <rv s="5">
    <v>en-CA</v>
    <v>a1rlu2</v>
    <v>268435456</v>
    <v>1</v>
    <v>Powered by Refinitiv</v>
    <v>7</v>
    <v>ECOLAB INC. (XNYS:ECL)</v>
    <v>8</v>
    <v>9</v>
    <v>Finance</v>
    <v>5</v>
    <v>273.69</v>
    <v>220.96</v>
    <v>1.0412999999999999</v>
    <v>1.44</v>
    <v>-1.915E-3</v>
    <v>5.5459999999999997E-3</v>
    <v>-0.5</v>
    <v>USD</v>
    <v>Ecolab Inc. is engaged in offering water, hygiene and infection prevention solutions and services that protect people and the resources vital to life. The Company’s Global Industrial segment provides water treatment and process applications, and cleaning and sanitizing solutions primarily to large industrial customers within the manufacturing, food and beverage processing, transportation, chemical, primary metals and mining, power generation, global refining, petrochemical, pulp and paper industries. Its Global Institutional &amp; Specialty segment provides specialized cleaning and sanitizing products to the foodservice, hospitality, lodging, government and education and retail industries. Its Global Healthcare &amp; Life Sciences segment provides specialized cleaning and sanitizing products to the healthcare, personal care, and pharmaceutical industries. Its Global Pest Elimination segment provides services designed to detect, prevent, and eliminate pests, such as rodents and insects.</v>
    <v>48000</v>
    <v>New York Stock Exchange</v>
    <v>XNYS</v>
    <v>XNYS</v>
    <v>1 Ecolab Place, SAINT PAUL, MN, 55102 US</v>
    <v>261.57</v>
    <v>Chemicals</v>
    <v>Stock</v>
    <v>45800.98068780078</v>
    <v>438</v>
    <v>257.45</v>
    <v>74025150000</v>
    <v>ECOLAB INC.</v>
    <v>ECOLAB INC.</v>
    <v>259.24</v>
    <v>35.328299999999999</v>
    <v>259.66000000000003</v>
    <v>261.10000000000002</v>
    <v>260.60000000000002</v>
    <v>283512600</v>
    <v>ECL</v>
    <v>ECOLAB INC. (XNYS:ECL)</v>
    <v>796048</v>
    <v>1223440</v>
    <v>1924</v>
  </rv>
  <rv s="4">
    <v>439</v>
  </rv>
  <rv s="0">
    <v>https://www.bing.com/financeapi/forcetrigger?t=bq89dm&amp;q=XNYS%3aCTVA&amp;form=skydnc</v>
    <v>Learn more on Bing</v>
  </rv>
  <rv s="5">
    <v>en-CA</v>
    <v>bq89dm</v>
    <v>268435456</v>
    <v>1</v>
    <v>Powered by Refinitiv</v>
    <v>7</v>
    <v>CORTEVA, INC. (XNYS:CTVA)</v>
    <v>8</v>
    <v>9</v>
    <v>Finance</v>
    <v>5</v>
    <v>69.42</v>
    <v>50.01</v>
    <v>0.73509999999999998</v>
    <v>0.47</v>
    <v>4.1989999999999996E-3</v>
    <v>6.8520000000000005E-3</v>
    <v>0.28999999999999998</v>
    <v>USD</v>
    <v>Corteva, Inc. is a global pure-play agriculture company. It is a global provider of seed and crop protection solutions focused on the agriculture industry and contributing to a healthier, secure and sustainable food supply. The Seed segment is engaged in developing and supplying commercial seed combining advanced germplasm and traits that produce optimum yield for farms around the world. It operates in various key seed markets, including North American corn and soybeans, European corn and sunflower, as well as Brazil, India, South Africa and Argentina corn. The Crop Protection segment serves the global agricultural input industry with products that protect against weeds, insects and other pests, and disease, and that support overall crop health both above and below ground via nitrogen management and seed-applied technologies. Its crop protection solutions and digital solutions provide farmers with tools to improve productivity and help keep fields free of weeds, insects and diseases.</v>
    <v>22000</v>
    <v>New York Stock Exchange</v>
    <v>XNYS</v>
    <v>XNYS</v>
    <v>9330 ZIONSVILLE ROAD, INDIANAPOLIS, IN, 46268 US</v>
    <v>69.239999999999995</v>
    <v>Chemicals</v>
    <v>Stock</v>
    <v>45800.996269687501</v>
    <v>441</v>
    <v>67.930000000000007</v>
    <v>47110660000</v>
    <v>CORTEVA, INC.</v>
    <v>CORTEVA, INC.</v>
    <v>68.41</v>
    <v>41.745800000000003</v>
    <v>68.59</v>
    <v>69.06</v>
    <v>69.349999999999994</v>
    <v>682170000</v>
    <v>CTVA</v>
    <v>CORTEVA, INC. (XNYS:CTVA)</v>
    <v>2541589</v>
    <v>3291229</v>
    <v>2018</v>
  </rv>
  <rv s="4">
    <v>442</v>
  </rv>
  <rv s="0">
    <v>https://www.bing.com/financeapi/forcetrigger?t=a1rfsm&amp;q=XNYS%3aDD&amp;form=skydnc</v>
    <v>Learn more on Bing</v>
  </rv>
  <rv s="5">
    <v>en-CA</v>
    <v>a1rfsm</v>
    <v>268435456</v>
    <v>1</v>
    <v>Powered by Refinitiv</v>
    <v>7</v>
    <v>DuPont de Nemours, Inc. (XNYS:DD)</v>
    <v>8</v>
    <v>9</v>
    <v>Finance</v>
    <v>5</v>
    <v>90.06</v>
    <v>53.77</v>
    <v>1.0468</v>
    <v>-0.36</v>
    <v>8.8690000000000004E-4</v>
    <v>-5.293E-3</v>
    <v>0.06</v>
    <v>USD</v>
    <v>DuPont de Nemours, Inc. provides technology-based materials and solutions. The Company serves various markets, including electronics, transportation, construction, water, healthcare and worker safety. The Company's segments include ElectronicsCo and IndustrialsCo. ElectronicsCo segment is a provider of materials and solutions for semiconductor and electronics industries. The segment is a provider of semiconductor fabrication consumables such as CMP materials and microlithography. The segment is a provider of materials for the manufacturing of displays for organic light emitting diode (OLED) and elastomer solutions and parts for semiconductor equipment and other critical industrial applications. IndustrialsCo segment is a provider of engineered products and integrated solutions primarily serving medical, including packaging and specialty medical devices, water filtration, worker safety, automotive, including electric vehicles, aerospace and building product end markets.</v>
    <v>24000</v>
    <v>New York Stock Exchange</v>
    <v>XNYS</v>
    <v>XNYS</v>
    <v>974 Centre Rd Bldg 730, WILMINGTON, DE, 19805 US</v>
    <v>67.73</v>
    <v>Electronic Equipment &amp; Parts</v>
    <v>Stock</v>
    <v>45800.958333356248</v>
    <v>444</v>
    <v>66.56</v>
    <v>28311440000</v>
    <v>DuPont de Nemours, Inc.</v>
    <v>DuPont de Nemours, Inc.</v>
    <v>66.650000000000006</v>
    <v>2471.2930000000001</v>
    <v>68.010000000000005</v>
    <v>67.650000000000006</v>
    <v>67.709999999999994</v>
    <v>418498700</v>
    <v>DD</v>
    <v>DuPont de Nemours, Inc. (XNYS:DD)</v>
    <v>1748465</v>
    <v>3164183</v>
    <v>2015</v>
  </rv>
  <rv s="4">
    <v>445</v>
  </rv>
  <rv s="0">
    <v>https://www.bing.com/financeapi/forcetrigger?t=a214h7&amp;q=XNYS%3aPPG&amp;form=skydnc</v>
    <v>Learn more on Bing</v>
  </rv>
  <rv s="5">
    <v>en-CA</v>
    <v>a214h7</v>
    <v>268435456</v>
    <v>1</v>
    <v>Powered by Refinitiv</v>
    <v>7</v>
    <v>PPG INDUSTRIES, INC. (XNYS:PPG)</v>
    <v>8</v>
    <v>9</v>
    <v>Finance</v>
    <v>5</v>
    <v>137.24</v>
    <v>90.24</v>
    <v>1.1677999999999999</v>
    <v>-1.1299999999999999</v>
    <v>2.5440000000000003E-3</v>
    <v>-1.0161E-2</v>
    <v>0.28000000000000003</v>
    <v>USD</v>
    <v>PPG Industries, Inc. manufactures and distributes a broad range of paints, coatings and specialty products. Its segments include Global Architectural Coatings, Performance Coatings and Industrial Coatings. The Global Architectural Coatings segment consists of architectural coatings EMEA and architectural coatings Latin America and Asia Pacific operating segments. This segment primarily supplies paints, wood stains, adhesives, sealants and purchased sundries. The Performance Coatings segment consists of automotive refinish coatings, aerospace coatings, protective and marine coatings and traffic solutions operating segments. This segment primarily supplies a variety of coatings, solvents, adhesives, sealants, foams and finishes, along with pavement marking products, transparencies and paint films. The Industrial Coatings segment supplies a variety of protective and decorative coatings and finishes along with adhesives, sealants, metal pretreatment products, and other specialty products.</v>
    <v>46000</v>
    <v>New York Stock Exchange</v>
    <v>XNYS</v>
    <v>XNYS</v>
    <v>One Ppg Pl 40 East, PITTSBURGH, PA, 15272 US</v>
    <v>110.33</v>
    <v>Chemicals</v>
    <v>Stock</v>
    <v>45800.958333344533</v>
    <v>447</v>
    <v>109.0001</v>
    <v>24988160000</v>
    <v>PPG INDUSTRIES, INC.</v>
    <v>PPG INDUSTRIES, INC.</v>
    <v>109.33</v>
    <v>19.6782</v>
    <v>111.21</v>
    <v>110.08</v>
    <v>110.36</v>
    <v>227000000</v>
    <v>PPG</v>
    <v>PPG INDUSTRIES, INC. (XNYS:PPG)</v>
    <v>948161</v>
    <v>1885318</v>
    <v>1883</v>
  </rv>
  <rv s="4">
    <v>448</v>
  </rv>
  <rv s="0">
    <v>https://www.bing.com/financeapi/forcetrigger?t=bpifbh&amp;q=XNYS%3aDOW&amp;form=skydnc</v>
    <v>Learn more on Bing</v>
  </rv>
  <rv s="5">
    <v>en-CA</v>
    <v>bpifbh</v>
    <v>268435456</v>
    <v>1</v>
    <v>Powered by Refinitiv</v>
    <v>7</v>
    <v>Dow Inc. (XNYS:DOW)</v>
    <v>8</v>
    <v>9</v>
    <v>Finance</v>
    <v>5</v>
    <v>58.365000000000002</v>
    <v>25.06</v>
    <v>0.91020000000000001</v>
    <v>-0.35</v>
    <v>2.1190000000000002E-3</v>
    <v>-1.2208000000000002E-2</v>
    <v>0.06</v>
    <v>USD</v>
    <v>Dow Inc. serves as a holding company for The Dow Chemical Company and its subsidiaries. The Company conducts its operations through six global businesses, which are organized into segments, such as Packaging &amp; Specialty Plastics, Industrial Intermediates &amp; Infrastructure and Performance Materials &amp; Coatings. Packaging &amp; Specialty Plastics segment consists of two integrated global businesses: Hydrocarbons &amp; Energy and Packaging and Specialty Plastics. This segment employs a polyolefin product portfolio. Industrial Intermediates &amp; Infrastructure segment consists of two customer-centric global businesses: Industrial Solutions and Polyurethanes &amp; Construction Chemicals that develop intermediate chemicals that are essential to manufacturing processes, as well as downstream, customized materials and formulations that use advanced development technologies. Performance Materials &amp; Coatings segment consists of two global businesses: Coatings &amp; Performance Monomers and Consumer Solutions.</v>
    <v>36000</v>
    <v>New York Stock Exchange</v>
    <v>XNYS</v>
    <v>XNYS</v>
    <v>2211 H H Dow Way, MIDLAND, MI, 48642-4815 US</v>
    <v>28.47</v>
    <v>Chemicals</v>
    <v>Stock</v>
    <v>45800.999236168747</v>
    <v>450</v>
    <v>27.91</v>
    <v>20018320000</v>
    <v>Dow Inc.</v>
    <v>Dow Inc.</v>
    <v>28.15</v>
    <v>71.662499999999994</v>
    <v>28.67</v>
    <v>28.32</v>
    <v>28.38</v>
    <v>706861800</v>
    <v>DOW</v>
    <v>Dow Inc. (XNYS:DOW)</v>
    <v>7095222</v>
    <v>8610345</v>
    <v>2018</v>
  </rv>
  <rv s="4">
    <v>451</v>
  </rv>
  <rv s="0">
    <v>https://www.bing.com/financeapi/forcetrigger?t=a1x8c7&amp;q=XNYS%3aLYB&amp;form=skydnc</v>
    <v>Learn more on Bing</v>
  </rv>
  <rv s="5">
    <v>en-CA</v>
    <v>a1x8c7</v>
    <v>268435456</v>
    <v>1</v>
    <v>Powered by Refinitiv</v>
    <v>7</v>
    <v>LyondellBasell Industries NV (XNYS:LYB)</v>
    <v>8</v>
    <v>9</v>
    <v>Finance</v>
    <v>5</v>
    <v>100.4593</v>
    <v>51.11</v>
    <v>0.82909999999999995</v>
    <v>-0.2</v>
    <v>3.5630000000000002E-3</v>
    <v>-3.5510000000000003E-3</v>
    <v>0.2</v>
    <v>USD</v>
    <v>LyondellBasell Industries N.V. is a chemical company creating solutions for everyday sustainable living. Its segments include Olefins and Polyolefins-Americas (O&amp;P-Americas), Olefins and Polyolefins-Europe, Asia, International (O&amp;P-EAI), Intermediates and Derivatives (I&amp;D), Advanced Polymer Solutions (APS), Refining, and Technology. The O&amp;P-Americas and O&amp;P-EAI segments produce and market olefins and co-products, polyethylene, and polypropylene. The I&amp;D segment produces and markets propylene oxide (PO) and its derivatives, oxyfuels and related products, and intermediate chemicals, such as styrene monomer (SM), and acetyls. The APS segment produces and markets compounding and solutions, such as polypropylene compounds, engineered plastics, masterbatches, engineered composites, colors, and powders. The Refining segment refines heavy, high-sulfur crude oil and other crude oils of various types. The Technology segment develops and licenses chemical and polyolefin process technologies.</v>
    <v>20000</v>
    <v>New York Stock Exchange</v>
    <v>XNYS</v>
    <v>XNYS</v>
    <v>4th Floor, One Vine Street, LONDON, W1J 0AH GB</v>
    <v>56.23</v>
    <v>Chemicals</v>
    <v>Stock</v>
    <v>45800.999685635936</v>
    <v>453</v>
    <v>55.3</v>
    <v>18040180000</v>
    <v>LyondellBasell Industries NV</v>
    <v>LyondellBasell Industries NV</v>
    <v>55.784999999999997</v>
    <v>20.489799999999999</v>
    <v>56.33</v>
    <v>56.13</v>
    <v>56.33</v>
    <v>321400000</v>
    <v>LYB</v>
    <v>LyondellBasell Industries NV (XNYS:LYB)</v>
    <v>3017388</v>
    <v>3649884</v>
    <v>2009</v>
  </rv>
  <rv s="4">
    <v>454</v>
  </rv>
  <rv s="0">
    <v>https://www.bing.com/financeapi/forcetrigger?t=a1pidm&amp;q=XNYS%3aCF&amp;form=skydnc</v>
    <v>Learn more on Bing</v>
  </rv>
  <rv s="5">
    <v>en-CA</v>
    <v>a1pidm</v>
    <v>268435456</v>
    <v>1</v>
    <v>Powered by Refinitiv</v>
    <v>7</v>
    <v>CF INDUSTRIES HOLDINGS, INC. (XNYS:CF)</v>
    <v>8</v>
    <v>9</v>
    <v>Finance</v>
    <v>5</v>
    <v>98.25</v>
    <v>67.34</v>
    <v>0.93700000000000006</v>
    <v>-0.02</v>
    <v>4.8370000000000002E-3</v>
    <v>-2.2489999999999999E-4</v>
    <v>0.43</v>
    <v>USD</v>
    <v>CF Industries Holdings, Inc. is a global manufacturer of hydrogen and nitrogen products. The Company is focused on decarbonizing its ammonia production network to enable low-carbon hydrogen and nitrogen products for energy, fertilizer, emissions abatement and other industrial activities. The Company's segments include Ammonia, Granular Urea, UAN, AN and Other. Ammonia segment produces anhydrous ammonia (ammonia), which is the base product that it manufactures (containing 82% nitrogen and 18% hydrogen). Granular Urea segment produces granular urea, which contains 46% nitrogen. UAN segment produces urea ammonium nitrate solution (UAN). AN segment produces ammonium nitrate (AN). Other segment primarily includes products, such as diesel exhaust fluid (DEF), urea liquor and nitric acid. Its manufacturing complexes in the United States, Canada, and the United Kingdom, a storage, transportation and distribution network in North America, and logistics capabilities enable a global reach.</v>
    <v>2800</v>
    <v>New York Stock Exchange</v>
    <v>XNYS</v>
    <v>XNYS</v>
    <v>2375 Waterview Drive, NORTHBROOK, IL, 60062 US</v>
    <v>89.29</v>
    <v>Chemicals</v>
    <v>Stock</v>
    <v>45800.97480662031</v>
    <v>456</v>
    <v>88.305999999999997</v>
    <v>14401070000</v>
    <v>CF INDUSTRIES HOLDINGS, INC.</v>
    <v>CF INDUSTRIES HOLDINGS, INC.</v>
    <v>88.61</v>
    <v>11.726800000000001</v>
    <v>88.91</v>
    <v>88.89</v>
    <v>89.32</v>
    <v>162010000</v>
    <v>CF</v>
    <v>CF INDUSTRIES HOLDINGS, INC. (XNYS:CF)</v>
    <v>1254431</v>
    <v>2404412</v>
    <v>2005</v>
  </rv>
  <rv s="4">
    <v>457</v>
  </rv>
  <rv s="0">
    <v>https://www.bing.com/financeapi/forcetrigger?t=a1rxu2&amp;q=XNYS%3aEMN&amp;form=skydnc</v>
    <v>Learn more on Bing</v>
  </rv>
  <rv s="5">
    <v>en-CA</v>
    <v>a1rxu2</v>
    <v>268435456</v>
    <v>1</v>
    <v>Powered by Refinitiv</v>
    <v>7</v>
    <v>EASTMAN CHEMICAL COMPANY (XNYS:EMN)</v>
    <v>8</v>
    <v>9</v>
    <v>Finance</v>
    <v>5</v>
    <v>114.5</v>
    <v>70.900000000000006</v>
    <v>1.2845</v>
    <v>-0.82</v>
    <v>6.332E-3</v>
    <v>-1.0078999999999999E-2</v>
    <v>0.51</v>
    <v>USD</v>
    <v>Eastman Chemical Company is a global specialty materials company that produces a range of products found in items people use every day. Its segments include Advanced Materials (AM), Additives &amp; Functional Products (AFP), Chemical Intermediates (CI), and Fibers. The AM segment produces and markets polymers, films, and plastics with differentiated performance properties for value-added end-uses in transportation; durables and electronics; building and construction; medical and pharma, and consumables end-markets. AFP segment manufactures materials for products in food, feed, and agriculture; transportation; water treatment and energy; personal care and wellness; building and construction; consumables, and durables and electronics end-markets. The CI segment sells intermediates for end-markets, such as industrial chemicals and processing, building and construction, health and wellness, and food and feed. Its Fibers segment manufactures and sells acetate tow and triacetin plasticizers.</v>
    <v>14000</v>
    <v>New York Stock Exchange</v>
    <v>XNYS</v>
    <v>XNYS</v>
    <v>Po Box 511, 200 South Wilcox Drive, KINGSPORT, TN, 37660 US</v>
    <v>80.790000000000006</v>
    <v>Chemicals</v>
    <v>Stock</v>
    <v>45800.958333356248</v>
    <v>459</v>
    <v>79.534999999999997</v>
    <v>9299160000</v>
    <v>EASTMAN CHEMICAL COMPANY</v>
    <v>EASTMAN CHEMICAL COMPANY</v>
    <v>80.040000000000006</v>
    <v>10.354699999999999</v>
    <v>81.36</v>
    <v>80.540000000000006</v>
    <v>81.05</v>
    <v>115460200</v>
    <v>EMN</v>
    <v>EASTMAN CHEMICAL COMPANY (XNYS:EMN)</v>
    <v>1056467</v>
    <v>1503038</v>
    <v>1993</v>
  </rv>
  <rv s="4">
    <v>460</v>
  </rv>
  <rv s="0">
    <v>https://www.bing.com/financeapi/forcetrigger?t=a1n977&amp;q=XNYS%3aALB&amp;form=skydnc</v>
    <v>Learn more on Bing</v>
  </rv>
  <rv s="6">
    <v>en-CA</v>
    <v>a1n977</v>
    <v>268435456</v>
    <v>1</v>
    <v>Powered by Refinitiv</v>
    <v>10</v>
    <v>ALBEMARLE CORPORATION (XNYS:ALB)</v>
    <v>8</v>
    <v>11</v>
    <v>Finance</v>
    <v>5</v>
    <v>129.5</v>
    <v>49.430300000000003</v>
    <v>1.6487000000000001</v>
    <v>-0.33</v>
    <v>0</v>
    <v>-5.6959999999999997E-3</v>
    <v>0</v>
    <v>USD</v>
    <v>Albemarle Corporation is engaged in transforming essential resources into critical ingredients for mobility, energy, connectivity, and health. The Company’s segments include Energy Storage, Specialties, and Ketjen. The Energy Storage segment develops and manufactures a range of basic lithium compounds, including lithium carbonate, lithium hydroxide, and lithium chloride. Its Specialties business optimizes its portfolio of bromine and highly specialized lithium solutions. Its Specialties business serves a variety of industries, including energy, mobility, connectivity, and health. Specialty products are essential in both internal combustion and electric vehicles, from high-voltage cables and powertrains to airbags and tires. Its Ketjen segment includes clean fuels technologies (CFT), fluidized catalytic cracking (FCC) catalysts and additives, and performance catalyst solutions (PCS). It serves various markets such as grid storage, automotive, aerospace, conventional energy, and others.</v>
    <v>8300</v>
    <v>New York Stock Exchange</v>
    <v>XNYS</v>
    <v>XNYS</v>
    <v>4250 Congress Street, Suite 900, CHARLOTTE, NC, 28209 US</v>
    <v>57.9</v>
    <v>Chemicals</v>
    <v>Stock</v>
    <v>45800.986973946092</v>
    <v>462</v>
    <v>56.31</v>
    <v>6778445000</v>
    <v>ALBEMARLE CORPORATION</v>
    <v>ALBEMARLE CORPORATION</v>
    <v>56.61</v>
    <v>57.94</v>
    <v>57.61</v>
    <v>57.61</v>
    <v>117660900</v>
    <v>ALB</v>
    <v>ALBEMARLE CORPORATION (XNYS:ALB)</v>
    <v>2710552</v>
    <v>3259693</v>
    <v>1993</v>
  </rv>
  <rv s="4">
    <v>463</v>
  </rv>
  <rv s="0">
    <v>https://www.bing.com/financeapi/forcetrigger?t=a1xv4c&amp;q=XNYS%3aMOS&amp;form=skydnc</v>
    <v>Learn more on Bing</v>
  </rv>
  <rv s="5">
    <v>en-CA</v>
    <v>a1xv4c</v>
    <v>268435456</v>
    <v>1</v>
    <v>Powered by Refinitiv</v>
    <v>7</v>
    <v>THE MOSAIC COMPANY (XNYS:MOS)</v>
    <v>8</v>
    <v>9</v>
    <v>Finance</v>
    <v>5</v>
    <v>35.96</v>
    <v>22.36</v>
    <v>1.1296999999999999</v>
    <v>0.09</v>
    <v>-4.8430000000000001E-3</v>
    <v>2.5709999999999999E-3</v>
    <v>-0.17</v>
    <v>USD</v>
    <v>The Mosaic Company is a producer and marketer of concentrated phosphate and potash crop nutrients. The Company operates in three segments: Phosphates, Potash and Mosaic Fertilizantes. The Phosphates segment sells phosphate-based crop nutrients and animal feed ingredients throughout North America and internationally. The Potash Segment sells potash throughout North America and internationally, principally as fertilizer, but also for use in industrial applications and, to a lesser degree, as animal feed ingredients. The Mosaic Fertilizantes Segment produces and sells phosphate- and potash-based crop nutrients, and animal feed ingredients, in Brazil. In addition to five phosphate rock mines, four chemical plants and a potash mine in Brazil, this segment consists of sales offices, crop nutrient blending and bagging facilities, port terminals and warehouses in Brazil and Paraguay. This segment also serves as a distribution outlet for its Phosphates and Potash segments.</v>
    <v>10454</v>
    <v>New York Stock Exchange</v>
    <v>XNYS</v>
    <v>XNYS</v>
    <v>101 East Kennedy Blvd., Suite 2500, TAMPA, FL, 33602 US</v>
    <v>35.17</v>
    <v>Chemicals</v>
    <v>Stock</v>
    <v>45800.960566515627</v>
    <v>465</v>
    <v>34.6</v>
    <v>11134800000</v>
    <v>THE MOSAIC COMPANY</v>
    <v>THE MOSAIC COMPANY</v>
    <v>34.71</v>
    <v>63.543599999999998</v>
    <v>35.01</v>
    <v>35.1</v>
    <v>34.93</v>
    <v>317230800</v>
    <v>MOS</v>
    <v>THE MOSAIC COMPANY (XNYS:MOS)</v>
    <v>2932793</v>
    <v>5469580</v>
    <v>2004</v>
  </rv>
  <rv s="4">
    <v>466</v>
  </rv>
  <rv s="0">
    <v>https://www.bing.com/financeapi/forcetrigger?t=a1pffr&amp;q=XNYS%3aCE&amp;form=skydnc</v>
    <v>Learn more on Bing</v>
  </rv>
  <rv s="6">
    <v>en-CA</v>
    <v>a1pffr</v>
    <v>268435456</v>
    <v>1</v>
    <v>Powered by Refinitiv</v>
    <v>10</v>
    <v>CELANESE CORPORATION (XNYS:CE)</v>
    <v>8</v>
    <v>11</v>
    <v>Finance</v>
    <v>5</v>
    <v>154.08000000000001</v>
    <v>36.29</v>
    <v>1.1142000000000001</v>
    <v>-1.06</v>
    <v>7.6189999999999999E-3</v>
    <v>-1.9791E-2</v>
    <v>0.4</v>
    <v>USD</v>
    <v>Celanese Corporation is a global chemical and specialty materials company. The Company is a global producer of engineered polymers that are used in a variety of applications. Its segments include Engineered Materials and the Acetyl Chain. The Company's Engineered Materials segment includes the engineered materials business and certain strategic affiliates. The Engineered Materials business develops, produces and supplies a broad portfolio of high-performance specialty polymers for automotive and medical applications, as well as industrial products and consumer electronics. The Company's Acetyl Chain segment includes the integrated chain of acetic acid, vinyl acetate monomer (VAM), acetic anhydride, acetate esters, emulsion polymers, ethylene vinyl acetate (EVA) polymers, redispersible powders (RDP), and acetate tow businesses. The Acetyl Chain business produces and supplies acetyl products, including acetic acid, VAM, acetic anhydride and acetate esters.</v>
    <v>12163</v>
    <v>New York Stock Exchange</v>
    <v>XNYS</v>
    <v>XNYS</v>
    <v>222 W. Las Colinas Blvd., Suite 900N, IRVING, TX, 75039-5421 US</v>
    <v>52.7</v>
    <v>Chemicals</v>
    <v>Stock</v>
    <v>45800.958333356248</v>
    <v>468</v>
    <v>51.37</v>
    <v>5743887000</v>
    <v>CELANESE CORPORATION</v>
    <v>CELANESE CORPORATION</v>
    <v>52.5</v>
    <v>53.56</v>
    <v>52.5</v>
    <v>52.9</v>
    <v>109407400</v>
    <v>CE</v>
    <v>CELANESE CORPORATION (XNYS:CE)</v>
    <v>1409368</v>
    <v>2757745</v>
    <v>2004</v>
  </rv>
  <rv s="4">
    <v>469</v>
  </rv>
  <rv s="0">
    <v>https://www.bing.com/financeapi/forcetrigger?t=a1t4c7&amp;q=XNYS%3aFMC&amp;form=skydnc</v>
    <v>Learn more on Bing</v>
  </rv>
  <rv s="5">
    <v>en-CA</v>
    <v>a1t4c7</v>
    <v>268435456</v>
    <v>1</v>
    <v>Powered by Refinitiv</v>
    <v>7</v>
    <v>FMC CORPORATION (XNYS:FMC)</v>
    <v>8</v>
    <v>9</v>
    <v>Finance</v>
    <v>5</v>
    <v>68.55</v>
    <v>32.83</v>
    <v>0.77790000000000004</v>
    <v>0.21</v>
    <v>-5.4949999999999999E-3</v>
    <v>5.5249999999999995E-3</v>
    <v>-0.21</v>
    <v>USD</v>
    <v>FMC Corporation is a global agricultural sciences company engaged in providing farmers solutions that increase the productivity and resilience of their land. The Company’s crop protection solutions, including biologicals, crop nutrition, digital and precision agriculture, enable growers and crop advisers to address their challenges economically while protecting the environment. Its portfolio consists of three major pesticide categories: insecticides, herbicides and fungicides. The majority of its product lines consist of insecticides and herbicides, and it has a portfolio of fungicides mainly used in high-value crop segments. Its insecticides are used to control a wide spectrum of pests, while its herbicide portfolio primarily targets a large variety of difficult-to-control weeds. In addition, it is also investing in its Plant Health program, which includes biologicals, crop nutrition, and seed treatment products. Biological technologies serve as complements to its synthetic products.</v>
    <v>5700</v>
    <v>New York Stock Exchange</v>
    <v>XNYS</v>
    <v>XNYS</v>
    <v>2929 Walnut Street, PHILADELPHIA, PA, 19104 US</v>
    <v>38.335000000000001</v>
    <v>Chemicals</v>
    <v>Stock</v>
    <v>45800.996427789061</v>
    <v>471</v>
    <v>37.46</v>
    <v>4774031000</v>
    <v>FMC CORPORATION</v>
    <v>FMC CORPORATION</v>
    <v>37.68</v>
    <v>12.4404</v>
    <v>38.01</v>
    <v>38.22</v>
    <v>38.01</v>
    <v>124909200</v>
    <v>FMC</v>
    <v>FMC CORPORATION (XNYS:FMC)</v>
    <v>1148975</v>
    <v>1958333</v>
    <v>1928</v>
  </rv>
  <rv s="4">
    <v>472</v>
  </rv>
  <rv s="0">
    <v>https://www.bing.com/financeapi/forcetrigger?t=a1qe5r&amp;q=XNAS%3aCSCO&amp;form=skydnc</v>
    <v>Learn more on Bing</v>
  </rv>
  <rv s="5">
    <v>en-CA</v>
    <v>a1qe5r</v>
    <v>268435456</v>
    <v>1</v>
    <v>Powered by Refinitiv</v>
    <v>7</v>
    <v>CISCO SYSTEMS, INC. (XNAS:CSCO)</v>
    <v>8</v>
    <v>9</v>
    <v>Finance</v>
    <v>5</v>
    <v>66.5</v>
    <v>44.5</v>
    <v>0.87809999999999999</v>
    <v>-0.25</v>
    <v>-1.268E-3</v>
    <v>-3.9459999999999999E-3</v>
    <v>-0.08</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90400</v>
    <v>Nasdaq Stock Market</v>
    <v>XNAS</v>
    <v>XNAS</v>
    <v>170 West Tasman Dr, SAN JOSE, CA, 95134-1706 US</v>
    <v>63.22</v>
    <v>Communications &amp; Networking</v>
    <v>Stock</v>
    <v>45800.998498935158</v>
    <v>474</v>
    <v>62.53</v>
    <v>249915500000</v>
    <v>CISCO SYSTEMS, INC.</v>
    <v>CISCO SYSTEMS, INC.</v>
    <v>62.704999999999998</v>
    <v>25.966799999999999</v>
    <v>63.36</v>
    <v>63.11</v>
    <v>63.03</v>
    <v>3959998000</v>
    <v>CSCO</v>
    <v>CISCO SYSTEMS, INC. (XNAS:CSCO)</v>
    <v>15645591</v>
    <v>20769341</v>
    <v>2021</v>
  </rv>
  <rv s="4">
    <v>475</v>
  </rv>
  <rv s="0">
    <v>https://www.bing.com/financeapi/forcetrigger?t=a1u6sm&amp;q=XNYS%3aGRMN&amp;form=skydnc</v>
    <v>Learn more on Bing</v>
  </rv>
  <rv s="5">
    <v>en-CA</v>
    <v>a1u6sm</v>
    <v>268435456</v>
    <v>1</v>
    <v>Powered by Refinitiv</v>
    <v>7</v>
    <v>Garmin Ltd (XNYS:GRMN)</v>
    <v>8</v>
    <v>9</v>
    <v>Finance</v>
    <v>5</v>
    <v>246.5</v>
    <v>158.38</v>
    <v>0.98909999999999998</v>
    <v>-0.99</v>
    <v>-1.0718E-2</v>
    <v>-4.9109999999999996E-3</v>
    <v>-2.15</v>
    <v>USD</v>
    <v>Garmin Ltd. (Garmin) is a Switzerland-based entity. The Company and its subsidiaries offer global positioning system (GPS) navigation and wireless devices and applications. The Company operates through five segments: fitness, outdoor, aviation, marine and auto. It offers a range of auto navigation products, as well as a range of products and applications designed for the mobile GPS market. It offers Outdoor Handhelds, Wearable Devices, Golf Devices, and Dog Tracking and Training/Pet Obedience Devices. Garmin offers various products designed for use in fitness and activity tracking. Company’s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 Company operates worldwide.</v>
    <v>21800</v>
    <v>New York Stock Exchange</v>
    <v>XNYS</v>
    <v>XNYS</v>
    <v>Muehlentalstrasse 2, SCHAFFHAUSEN, SCHAFFHAUSEN, 8200 CH</v>
    <v>201.99289999999999</v>
    <v>Communications &amp; Networking</v>
    <v>Stock</v>
    <v>45800.958333356248</v>
    <v>477</v>
    <v>197.55</v>
    <v>38621890000</v>
    <v>Garmin Ltd</v>
    <v>Garmin Ltd</v>
    <v>197.55</v>
    <v>26.5764</v>
    <v>201.58</v>
    <v>200.59</v>
    <v>198.44</v>
    <v>192541500</v>
    <v>GRMN</v>
    <v>Garmin Ltd (XNYS:GRMN)</v>
    <v>535860</v>
    <v>862136</v>
    <v>2010</v>
  </rv>
  <rv s="4">
    <v>478</v>
  </rv>
  <rv s="0">
    <v>https://www.bing.com/financeapi/forcetrigger?t=a1w8mw&amp;q=XNYS%3aJNPR&amp;form=skydnc</v>
    <v>Learn more on Bing</v>
  </rv>
  <rv s="5">
    <v>en-CA</v>
    <v>a1w8mw</v>
    <v>268435456</v>
    <v>1</v>
    <v>Powered by Refinitiv</v>
    <v>7</v>
    <v>JUNIPER NETWORKS, INC. (XNYS:JNPR)</v>
    <v>8</v>
    <v>9</v>
    <v>Finance</v>
    <v>5</v>
    <v>39.79</v>
    <v>33.42</v>
    <v>0.7823</v>
    <v>0.02</v>
    <v>-4.1679999999999998E-3</v>
    <v>5.5599999999999996E-4</v>
    <v>-0.15</v>
    <v>USD</v>
    <v>Juniper Networks, Inc. delivers secure networking technology to its customers, including network operators, telecommunication and cloud providers, enterprise information technology (IT) teams, lines of businesses and network users, such as individual devices, machines, applications, microservices and data stores. Its Artificial Intelligence (AI)-Native Networking Platform is built from the ground up to leverage AI to deliver secure and sustainable user experiences from the edge to the data center and cloud. Its AI-Native, enterprise networking operations (AIOps) software-as-a-service (SaaS) platform leverages data and automation to enable reliable, predictable, measurable user experience and superior performance for operators by simplifying deployment and day-to-day operations across the entire network. It designs and builds products and solutions to address its customer priorities, including Wide Area Networking, Campus and Branch and Data Center.</v>
    <v>11271</v>
    <v>New York Stock Exchange</v>
    <v>XNYS</v>
    <v>XNYS</v>
    <v>1133 Innovation Way, SUNNYVALE, CA, 94089 US</v>
    <v>36.020000000000003</v>
    <v>Communications &amp; Networking</v>
    <v>Stock</v>
    <v>45800.958333356248</v>
    <v>480</v>
    <v>35.616</v>
    <v>12034430000</v>
    <v>JUNIPER NETWORKS, INC.</v>
    <v>JUNIPER NETWORKS, INC.</v>
    <v>35.630000000000003</v>
    <v>34.383200000000002</v>
    <v>35.97</v>
    <v>35.99</v>
    <v>35.840000000000003</v>
    <v>334382600</v>
    <v>JNPR</v>
    <v>JUNIPER NETWORKS, INC. (XNYS:JNPR)</v>
    <v>1783762</v>
    <v>2345356</v>
    <v>1997</v>
  </rv>
  <rv s="4">
    <v>481</v>
  </rv>
  <rv s="0">
    <v>https://www.bing.com/financeapi/forcetrigger?t=a1naqh&amp;q=XNYS%3aALLE&amp;form=skydnc</v>
    <v>Learn more on Bing</v>
  </rv>
  <rv s="5">
    <v>en-CA</v>
    <v>a1naqh</v>
    <v>268435456</v>
    <v>1</v>
    <v>Powered by Refinitiv</v>
    <v>7</v>
    <v>ALLEGION PUBLIC LIMITED COMPANY (XNYS:ALLE)</v>
    <v>8</v>
    <v>9</v>
    <v>Finance</v>
    <v>5</v>
    <v>156.09700000000001</v>
    <v>113.27</v>
    <v>1.0436000000000001</v>
    <v>-0.32</v>
    <v>0</v>
    <v>-2.2589999999999997E-3</v>
    <v>0</v>
    <v>USD</v>
    <v>Allegion plc is a global security products and solutions provider. The Company secures people and assets with a range of solutions for homes, businesses, schools and institutions. Its Allegion Americas segment is a provider of security products, services and solutions throughout North America. It sells a range of products and solutions, including locks, locksets, key systems, door controls and systems, exit devices, doors, accessories, electronic security products, access control systems and software and service solutions to customers in commercial, institutional, and residential facilities. Its Allegion International segment provides security products, services and solutions primarily throughout Europe, Asia and Oceania. The segment offers end-users a range of products, services and solutions, including locks, locksets, portable locks, key systems, door closers and systems, and others. Its brands include CISA, Interflex, LCN, Schlage, SimonsVoss, Von Duprin, Trimco and others.</v>
    <v>14400</v>
    <v>New York Stock Exchange</v>
    <v>XNYS</v>
    <v>XNYS</v>
    <v>Block D Iveagh Court, Harcourt Road, Dublin 2, DUBLIN, DUBLIN, D02 VH94 IE</v>
    <v>141.69</v>
    <v>Communications &amp; Networking</v>
    <v>Stock</v>
    <v>45800.958333356248</v>
    <v>483</v>
    <v>140.16</v>
    <v>12159630000</v>
    <v>ALLEGION PUBLIC LIMITED COMPANY</v>
    <v>ALLEGION PUBLIC LIMITED COMPANY</v>
    <v>140.53</v>
    <v>19.874600000000001</v>
    <v>141.63</v>
    <v>141.31</v>
    <v>141.31</v>
    <v>86049290</v>
    <v>ALLE</v>
    <v>ALLEGION PUBLIC LIMITED COMPANY (XNYS:ALLE)</v>
    <v>617189</v>
    <v>946340</v>
    <v>2013</v>
  </rv>
  <rv s="4">
    <v>484</v>
  </rv>
  <rv s="0">
    <v>http://en.wikipedia.org/wiki/Hewlett-Packard</v>
    <v>Wikipedia</v>
  </rv>
  <rv s="1">
    <v>0</v>
    <v>486</v>
  </rv>
  <rv s="2">
    <v>6</v>
    <v>https://www.bing.com/th?id=AMMS_98757b1e7b158827481b7c629463c21b&amp;qlt=95</v>
    <v>487</v>
    <v>0</v>
    <v>https://www.bing.com/images/search?form=xlimg&amp;q=hp+company</v>
    <v>Image of HP INC.</v>
  </rv>
  <rv s="0">
    <v>https://www.bing.com/financeapi/forcetrigger?t=a1uu5r&amp;q=XNYS%3aHPQ&amp;form=skydnc</v>
    <v>Learn more on Bing</v>
  </rv>
  <rv s="3">
    <v>en-CA</v>
    <v>a1uu5r</v>
    <v>268435456</v>
    <v>1</v>
    <v>Powered by Refinitiv</v>
    <v>0</v>
    <v>HP INC. (XNYS:HPQ)</v>
    <v>3</v>
    <v>4</v>
    <v>Finance</v>
    <v>5</v>
    <v>39.795000000000002</v>
    <v>21.21</v>
    <v>1.3697999999999999</v>
    <v>-0.52</v>
    <v>0</v>
    <v>-1.8245999999999998E-2</v>
    <v>0</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28.13</v>
    <v>488</v>
    <v>Computers, Phones &amp; Household Electronics</v>
    <v>Stock</v>
    <v>45800.991750010937</v>
    <v>489</v>
    <v>27.56</v>
    <v>26376830000</v>
    <v>HP INC.</v>
    <v>HP INC.</v>
    <v>27.68</v>
    <v>10.251200000000001</v>
    <v>28.5</v>
    <v>27.98</v>
    <v>27.98</v>
    <v>942703000</v>
    <v>HPQ</v>
    <v>HP INC. (XNYS:HPQ)</v>
    <v>7663119</v>
    <v>6696208</v>
    <v>1998</v>
  </rv>
  <rv s="4">
    <v>490</v>
  </rv>
  <rv s="0">
    <v>https://www.bing.com/financeapi/forcetrigger?t=a1retc&amp;q=XNYS%3aDELL&amp;form=skydnc</v>
    <v>Learn more on Bing</v>
  </rv>
  <rv s="5">
    <v>en-CA</v>
    <v>a1retc</v>
    <v>268435456</v>
    <v>1</v>
    <v>Powered by Refinitiv</v>
    <v>7</v>
    <v>DELL TECHNOLOGIES INC. (XNYS:DELL)</v>
    <v>8</v>
    <v>9</v>
    <v>Finance</v>
    <v>5</v>
    <v>179.7</v>
    <v>66.245000000000005</v>
    <v>0.997</v>
    <v>0.16</v>
    <v>-8.9200000000000013E-5</v>
    <v>1.4289999999999999E-3</v>
    <v>-0.01</v>
    <v>USD</v>
    <v>Dell Technologies Inc. is engaged in designing, developing, manufacturing, marketing, selling, and supporting a wide range of comprehensive and integrated solutions, products, and services. The Company operates through two segments: Infrastructure Solutions Group (ISG) and Client Solutions Group (CSG). Its ISG segment enables the Company’s customer’s digital transformation with solutions that address artificial intelligence (AI), machine learning, data analytics, and multi cloud environments. Its comprehensive storage portfolio includes modern and traditional storage solutions, including all-flash arrays, scale-out file, object platforms, hyper-converged infrastructure, and software-defined storage. Its CSG segment offers branded personal computers (PCs) including notebooks, desktops, and workstations and branded peripherals that include displays, docking stations, keyboards, mice, and webcam and audio devices, as well as third-party software and peripherals.</v>
    <v>108000</v>
    <v>New York Stock Exchange</v>
    <v>XNYS</v>
    <v>XNYS</v>
    <v>ONE DELL WAY, ROUND ROCK, TX, 78682 US</v>
    <v>112.685</v>
    <v>Computers, Phones &amp; Household Electronics</v>
    <v>Stock</v>
    <v>45800.999160196094</v>
    <v>492</v>
    <v>108.81</v>
    <v>76624670000</v>
    <v>DELL TECHNOLOGIES INC.</v>
    <v>DELL TECHNOLOGIES INC.</v>
    <v>109.67</v>
    <v>17.547000000000001</v>
    <v>111.95</v>
    <v>112.11</v>
    <v>112.1</v>
    <v>683477600</v>
    <v>DELL</v>
    <v>DELL TECHNOLOGIES INC. (XNYS:DELL)</v>
    <v>3916881</v>
    <v>5658322</v>
    <v>2013</v>
  </rv>
  <rv s="4">
    <v>493</v>
  </rv>
  <rv s="0">
    <v>https://www.bing.com/financeapi/forcetrigger?t=a1utqh&amp;q=XNYS%3aHPE&amp;form=skydnc</v>
    <v>Learn more on Bing</v>
  </rv>
  <rv s="5">
    <v>en-CA</v>
    <v>a1utqh</v>
    <v>268435456</v>
    <v>1</v>
    <v>Powered by Refinitiv</v>
    <v>7</v>
    <v>HEWLETT PACKARD ENTERPRISE COMPANY (XNYS:HPE)</v>
    <v>8</v>
    <v>9</v>
    <v>Finance</v>
    <v>5</v>
    <v>24.66</v>
    <v>11.965</v>
    <v>1.3387</v>
    <v>-0.13</v>
    <v>-1.722E-3</v>
    <v>-7.4070000000000004E-3</v>
    <v>-0.03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17.47</v>
    <v>Computers, Phones &amp; Household Electronics</v>
    <v>Stock</v>
    <v>45800.999937210159</v>
    <v>495</v>
    <v>17.03</v>
    <v>22882530000</v>
    <v>HEWLETT PACKARD ENTERPRISE COMPANY</v>
    <v>HEWLETT PACKARD ENTERPRISE COMPANY</v>
    <v>17.18</v>
    <v>8.5142000000000007</v>
    <v>17.55</v>
    <v>17.420000000000002</v>
    <v>17.39</v>
    <v>1313578000</v>
    <v>HPE</v>
    <v>HEWLETT PACKARD ENTERPRISE COMPANY (XNYS:HPE)</v>
    <v>9263400</v>
    <v>15742146</v>
    <v>2015</v>
  </rv>
  <rv s="4">
    <v>496</v>
  </rv>
  <rv s="0">
    <v>https://www.bing.com/financeapi/forcetrigger?t=a1yrar&amp;q=XNAS%3aNTAP&amp;form=skydnc</v>
    <v>Learn more on Bing</v>
  </rv>
  <rv s="5">
    <v>en-CA</v>
    <v>a1yrar</v>
    <v>268435456</v>
    <v>1</v>
    <v>Powered by Refinitiv</v>
    <v>7</v>
    <v>NETAPP, INC. (XNAS:NTAP)</v>
    <v>8</v>
    <v>9</v>
    <v>Finance</v>
    <v>5</v>
    <v>135.4462</v>
    <v>71.837800000000001</v>
    <v>1.4136</v>
    <v>-1.78</v>
    <v>-1.031E-4</v>
    <v>-1.7839000000000001E-2</v>
    <v>-1.01E-2</v>
    <v>USD</v>
    <v>NetApp, Inc. is an intelligent data infrastructure company. The Company combines unified data storage, integrated data services, and CloudOps solutions to make data infrastructure intelligent. Its segments include Hybrid Cloud and Public Cloud. Its Hybrid Cloud segment offers a unified data storage portfolio of storage management and infrastructure solutions that help customers modernize their data centers. Its Hybrid Cloud portfolio supports structured and unstructured data with unified storage optimized for flash, disk, and cloud storage to handle data-intensive workloads and applications. Hybrid Cloud includes software, hardware, and related support, as well as professional and other services. Its Public Cloud segment offers a portfolio of products delivered primarily as-a-service, including related support. This portfolio includes cloud storage and CloudOps services. These services are available on the public clouds, including Amazon AWS, Microsoft Azure, and Google Cloud Platform.</v>
    <v>11800</v>
    <v>Nasdaq Stock Market</v>
    <v>XNAS</v>
    <v>XNAS</v>
    <v>3060 Olsen Drive, SAN JOSE, CA, 95128 US</v>
    <v>98.5</v>
    <v>Computers, Phones &amp; Household Electronics</v>
    <v>Stock</v>
    <v>45800.931484478904</v>
    <v>498</v>
    <v>96.887299999999996</v>
    <v>19934330000</v>
    <v>NETAPP, INC.</v>
    <v>NETAPP, INC.</v>
    <v>97.92</v>
    <v>18.331</v>
    <v>99.78</v>
    <v>98</v>
    <v>97.989900000000006</v>
    <v>203411500</v>
    <v>NTAP</v>
    <v>NETAPP, INC. (XNAS:NTAP)</v>
    <v>2840413</v>
    <v>1711058</v>
    <v>2001</v>
  </rv>
  <rv s="4">
    <v>499</v>
  </rv>
  <rv s="0">
    <v>https://www.bing.com/financeapi/forcetrigger?t=a234r7&amp;q=XNAS%3aSMCI&amp;form=skydnc</v>
    <v>Learn more on Bing</v>
  </rv>
  <rv s="5">
    <v>en-CA</v>
    <v>a234r7</v>
    <v>268435456</v>
    <v>1</v>
    <v>Powered by Refinitiv</v>
    <v>7</v>
    <v>SUPER MICRO COMPUTER, INC. (XNAS:SMCI)</v>
    <v>8</v>
    <v>9</v>
    <v>Finance</v>
    <v>5</v>
    <v>101.402</v>
    <v>17.25</v>
    <v>1.3863000000000001</v>
    <v>-1.23</v>
    <v>-4.2380000000000004E-3</v>
    <v>-2.9767999999999999E-2</v>
    <v>-0.1699</v>
    <v>USD</v>
    <v>Super Micro Computer, Inc. provides application-optimized Total IT solutions. It delivers rack-scale solutions optimized for various workloads, including artificial intelligence and high-performance computing, where acceleration is critical. It produces a portfolio of server and storage solutions for enterprise data centers, cloud service providers and edge computing (5G Telco, Retail and embedded). Total IT Solutions include complete servers, storage systems, modular blade servers, workstations, full-rack scale solutions, networking devices, server sub-systems, server management and security software. It provides global support and services to help its customers install, upgrade and maintain their computing infrastructure, including liquid-cooling operations. It offers platforms in rackmount, blade, multi-node and embedded form factors, which support single, dual and multiprocessor architectures. Its key product lines include SuperBlade and MicroBlade, SuperStorage, Twin and others.</v>
    <v>5684</v>
    <v>Nasdaq Stock Market</v>
    <v>XNAS</v>
    <v>XNAS</v>
    <v>980 Rock Avenue, SAN JOSE, CA, 95131 US</v>
    <v>40.479999999999997</v>
    <v>Computers, Phones &amp; Household Electronics</v>
    <v>Stock</v>
    <v>45800.999962546091</v>
    <v>501</v>
    <v>39.11</v>
    <v>23926420000</v>
    <v>SUPER MICRO COMPUTER, INC.</v>
    <v>SUPER MICRO COMPUTER, INC.</v>
    <v>39.770000000000003</v>
    <v>22.880199999999999</v>
    <v>41.32</v>
    <v>40.090000000000003</v>
    <v>39.920099999999998</v>
    <v>596817600</v>
    <v>SMCI</v>
    <v>SUPER MICRO COMPUTER, INC. (XNAS:SMCI)</v>
    <v>37900688</v>
    <v>56524656</v>
    <v>2006</v>
  </rv>
  <rv s="4">
    <v>502</v>
  </rv>
  <rv s="0">
    <v>https://www.bing.com/financeapi/forcetrigger?t=a23rjc&amp;q=XNAS%3aSTX&amp;form=skydnc</v>
    <v>Learn more on Bing</v>
  </rv>
  <rv s="5">
    <v>en-CA</v>
    <v>a23rjc</v>
    <v>268435456</v>
    <v>1</v>
    <v>Powered by Refinitiv</v>
    <v>7</v>
    <v>SEAGATE TECHNOLOGY HOLDINGS PUBLIC LIMITED COMPANY (XNAS:STX)</v>
    <v>8</v>
    <v>9</v>
    <v>Finance</v>
    <v>5</v>
    <v>115.32</v>
    <v>63.19</v>
    <v>1.383</v>
    <v>3.88</v>
    <v>-3.0159999999999996E-3</v>
    <v>3.5642E-2</v>
    <v>-0.34</v>
    <v>USD</v>
    <v>Seagate Technology Holdings plc provides mass-data storage infrastructure solution. The Company’s principal products are hard disk drives, commonly referred to as disk drives, hard drives (HDDs). In addition to HDDs, the Company produces a range of data storage products, including solid state drives (SSDs), solid state hybrid drives, storage subsystems, as well as a scalable edge-to-cloud mass data platform. Its HDD products are designed for mass capacity storage and legacy markets. Mass capacity storage involves use cases, such as hyperscale data centers and public clouds, as well as emerging use cases. The Company’s HDD and SSD product portfolio includes Serial Advanced Technology Attachment, Serial Attached SCSI and Non-Volatile Memory Express based designs to support a variety of mass capacity and legacy applications. Its systems portfolio includes storage subsystems for enterprises, cloud service providers, scale-out storage servers and original equipment manufacturers.</v>
    <v>30000</v>
    <v>Nasdaq Stock Market</v>
    <v>XNAS</v>
    <v>XNAS</v>
    <v>121 Woodlands Avenue 5, 739009 SG</v>
    <v>113.17</v>
    <v>Computers, Phones &amp; Household Electronics</v>
    <v>Stock</v>
    <v>45800.999182314059</v>
    <v>504</v>
    <v>108.28</v>
    <v>23925400000</v>
    <v>SEAGATE TECHNOLOGY HOLDINGS PUBLIC LIMITED COMPANY</v>
    <v>SEAGATE TECHNOLOGY HOLDINGS PUBLIC LIMITED COMPANY</v>
    <v>108.28</v>
    <v>15.8786</v>
    <v>108.86</v>
    <v>112.74</v>
    <v>112.4</v>
    <v>212217500</v>
    <v>STX</v>
    <v>SEAGATE TECHNOLOGY HOLDINGS PUBLIC LIMITED COMPANY (XNAS:STX)</v>
    <v>5981623</v>
    <v>4327304</v>
    <v>2021</v>
  </rv>
  <rv s="4">
    <v>505</v>
  </rv>
  <rv s="0">
    <v>http://en.wikipedia.org/wiki/Western_Digital</v>
    <v>Wikipedia</v>
  </rv>
  <rv s="1">
    <v>0</v>
    <v>507</v>
  </rv>
  <rv s="2">
    <v>6</v>
    <v>https://www.bing.com/th?id=AMMS_b9efb984265253a027f300c3dcbbcbc0&amp;qlt=95</v>
    <v>508</v>
    <v>0</v>
    <v>https://www.bing.com/images/search?form=xlimg&amp;q=western+digital</v>
    <v>Image of WESTERN DIGITAL CORPORATION</v>
  </rv>
  <rv s="0">
    <v>https://www.bing.com/financeapi/forcetrigger?t=a25rnm&amp;q=XNAS%3aWDC&amp;form=skydnc</v>
    <v>Learn more on Bing</v>
  </rv>
  <rv s="3">
    <v>en-CA</v>
    <v>a25rnm</v>
    <v>268435456</v>
    <v>1</v>
    <v>Powered by Refinitiv</v>
    <v>0</v>
    <v>WESTERN DIGITAL CORPORATION (XNAS:WDC)</v>
    <v>3</v>
    <v>4</v>
    <v>Finance</v>
    <v>5</v>
    <v>61.621099999999998</v>
    <v>28.83</v>
    <v>1.4775</v>
    <v>0.34</v>
    <v>1.194E-3</v>
    <v>6.8219999999999999E-3</v>
    <v>5.9900000000000002E-2</v>
    <v>USD</v>
    <v>Western Digital Corporation is a developer, manufacturer and provider of data storage devices and solutions. It delivers hard disk drives (HDD) solutions for everyone from students, gamers, and home offices to enterprises and public clouds. The Company manufactures, markets, and sells data storage devices and solutions in the United States and in foreign countries through its sales personnel, dealers, distributors, retailers, and subsidiaries. Its portfolio of technology and products addresses multiple end markets: Cloud, Client, and Consumer. Cloud is comprised primarily of products for public or private cloud environments and end customers. Through the Client end market, it provides its original equipment manufacturer (OEM) and channel customers a range of hard drive solutions across personal computer, mobile, gaming, automotive, virtual reality headsets, at-home entertainment, and industrial spaces. The Consumer end market offers a range of retail and other end-user products.</v>
    <v>51000</v>
    <v>Nasdaq Stock Market</v>
    <v>XNAS</v>
    <v>XNAS</v>
    <v>5601 Great Oaks Parkway, SAN JOSE, CA, 95119 US</v>
    <v>50.39</v>
    <v>509</v>
    <v>Computers, Phones &amp; Household Electronics</v>
    <v>Stock</v>
    <v>45800.937819594532</v>
    <v>510</v>
    <v>49</v>
    <v>17506720000</v>
    <v>WESTERN DIGITAL CORPORATION</v>
    <v>WESTERN DIGITAL CORPORATION</v>
    <v>49.22</v>
    <v>9.6125000000000007</v>
    <v>49.84</v>
    <v>50.18</v>
    <v>50.239899999999999</v>
    <v>348878400</v>
    <v>WDC</v>
    <v>WESTERN DIGITAL CORPORATION (XNAS:WDC)</v>
    <v>5763168</v>
    <v>6866535</v>
    <v>2000</v>
  </rv>
  <rv s="4">
    <v>511</v>
  </rv>
  <rv s="13">
    <v>en-CA</v>
    <v>cfwqww</v>
    <v>268435456</v>
    <v>1</v>
    <v>Powered by Refinitiv</v>
    <v>32</v>
    <v>SANDISK CORPORATION (XNAS:SNDK)</v>
    <v>26</v>
    <v>9</v>
    <v>Finance</v>
    <v>5</v>
    <v>58.36</v>
    <v>27.885000000000002</v>
    <v>2.2229999999999999</v>
    <v>-0.56000000000000005</v>
    <v>4.6136999999999997E-2</v>
    <v>-1.4799E-2</v>
    <v>1.72</v>
    <v>USD</v>
    <v>SanDisk Corporation is a developer, manufacturer and provider of data storage devices and solutions based on NAND flash technology and has consumer brands and franchises globally. The Company's solutions include a range of solid state drives (SSDs) embedded products, removable cards, universal serial bus (USB) drives, and wafers and components. Its broad portfolio of technology and products addresses multiple end markets of cloud, client and consumer. Its cloud end market is comprised primarily of products for public or private cloud environments and enterprise customers. The Company, through the client end market, provides numerous data solutions that it incorporates into its client’s devices, which consist of solid state drive desktop and notebook personal computers, gaming consoles and set top boxes, and flash-based embedded storage products. The Company serves the consumer end market with a portfolio of solid state drives and removable flash, including cards and USB flash drives.</v>
    <v>12000</v>
    <v>Nasdaq Stock Market</v>
    <v>XNAS</v>
    <v>XNAS</v>
    <v>951 Sandisk Drive, MILPITAS, CA, 95035 US</v>
    <v>37.566699999999997</v>
    <v>Computers, Phones &amp; Household Electronics</v>
    <v>Stock</v>
    <v>45800.965357742971</v>
    <v>35.79</v>
    <v>5416755000</v>
    <v>SANDISK CORPORATION</v>
    <v>SANDISK CORPORATION</v>
    <v>36.25</v>
    <v>0</v>
    <v>37.840000000000003</v>
    <v>37.28</v>
    <v>39</v>
    <v>145299200</v>
    <v>SNDK</v>
    <v>SANDISK CORPORATION (XNAS:SNDK)</v>
    <v>1232929</v>
    <v>2332917</v>
    <v>2024</v>
  </rv>
  <rv s="4">
    <v>513</v>
  </rv>
  <rv s="0">
    <v>https://www.bing.com/financeapi/forcetrigger?t=a1otrw&amp;q=XNYS%3aBRK.B&amp;form=skydnc</v>
    <v>Learn more on Bing</v>
  </rv>
  <rv s="5">
    <v>en-CA</v>
    <v>a1otrw</v>
    <v>268435456</v>
    <v>1</v>
    <v>Powered by Refinitiv</v>
    <v>7</v>
    <v>BERKSHIRE HATHAWAY INC. (XNYS:BRK.B)</v>
    <v>8</v>
    <v>9</v>
    <v>Finance</v>
    <v>5</v>
    <v>542.07000000000005</v>
    <v>401.58</v>
    <v>0.86040000000000005</v>
    <v>-0.11</v>
    <v>-6.3560000000000005E-4</v>
    <v>-2.184E-4</v>
    <v>-0.32</v>
    <v>USD</v>
    <v>Berkshire Hathaway Inc. and its subsidiaries are engaged in diverse business activities, including insurance and reinsurance, utilities and energy, freight rail transportation, manufacturing, services and retailing. The Company’s segments include Insurance; Railroad (BNSF); Berkshire Hathaway Energy (BHE); Pilot Travel Centers (Pilot); Manufacturing; McLane Company (McLane), and Service and retailing. The Insurance segment includes GEICO, Berkshire Hathaway Primary Group and Berkshire Hathaway Reinsurance Group. The BNSF segment includes operation of railroad systems in North America through Burlington Northern Santa Fe, LLC. The BHE segment offers regulated electric and gas utilities. The Manufacturing segment manufacturers various products, including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505.5</v>
    <v>Consumer Goods Conglomerates</v>
    <v>Stock</v>
    <v>45800.999172510936</v>
    <v>515</v>
    <v>500.25</v>
    <v>1085760000000</v>
    <v>BERKSHIRE HATHAWAY INC.</v>
    <v>BERKSHIRE HATHAWAY INC.</v>
    <v>501.005</v>
    <v>13.4214</v>
    <v>503.57</v>
    <v>503.46</v>
    <v>503.14</v>
    <v>1438220</v>
    <v>BRK.B</v>
    <v>BERKSHIRE HATHAWAY INC. (XNYS:BRK.B)</v>
    <v>3166844</v>
    <v>5029601</v>
    <v>1998</v>
  </rv>
  <rv s="4">
    <v>516</v>
  </rv>
  <rv s="0">
    <v>https://www.bing.com/financeapi/forcetrigger?t=a1ut3m&amp;q=XNAS%3aHON&amp;form=skydnc</v>
    <v>Learn more on Bing</v>
  </rv>
  <rv s="5">
    <v>en-CA</v>
    <v>a1ut3m</v>
    <v>268435456</v>
    <v>1</v>
    <v>Powered by Refinitiv</v>
    <v>7</v>
    <v>HONEYWELL INTERNATIONAL INCORPORATION (XNAS:HON)</v>
    <v>8</v>
    <v>9</v>
    <v>Finance</v>
    <v>5</v>
    <v>242.77</v>
    <v>179.36</v>
    <v>1.0651999999999999</v>
    <v>-1.6</v>
    <v>-1.8470000000000001E-3</v>
    <v>-7.1549999999999999E-3</v>
    <v>-0.41</v>
    <v>USD</v>
    <v>Honeywell International Inc. is an integrated operating company. Its Aerospace Technologies segment supplies products, software, and services for aircraft that it sells to original equipment manufacturers and other customers in a variety of end markets, including air transport, regional, business and general aviation aircraft, airlines, aircraft operators and others. Its Industrial Automation segment provides industrial automation solutions that deliver intelligent, sustainable, and secure operations for customers in refining/petrochemicals, life sciences, utilities, and warehouse and logistics segments. The Energy and Sustainability Solutions segment provides industry technology, processing, and licensing capabilities combined with material science capabilities and chemistry. The Building Automation segment offers products, software, solutions, and technologies that enable building owners and occupants to ensure their facilities are safe, energy efficient, sustainable, and productive.</v>
    <v>102000</v>
    <v>Nasdaq Stock Market</v>
    <v>XNAS</v>
    <v>XNAS</v>
    <v>855 S. Mint Street, CHARLOTTE, NC, 28202 US</v>
    <v>223</v>
    <v>Consumer Goods Conglomerates</v>
    <v>Stock</v>
    <v>45800.998964872655</v>
    <v>518</v>
    <v>220.82</v>
    <v>142694900000</v>
    <v>HONEYWELL INTERNATIONAL INCORPORATION</v>
    <v>HONEYWELL INTERNATIONAL INCORPORATION</v>
    <v>220.82</v>
    <v>25.693300000000001</v>
    <v>223.63</v>
    <v>222.03</v>
    <v>221.62</v>
    <v>642682900</v>
    <v>HON</v>
    <v>HONEYWELL INTERNATIONAL INCORPORATION (XNAS:HON)</v>
    <v>2537518</v>
    <v>4178460</v>
    <v>1985</v>
  </rv>
  <rv s="4">
    <v>519</v>
  </rv>
  <rv s="0">
    <v>https://www.bing.com/financeapi/forcetrigger?t=a1xroc&amp;q=XNYS%3aMMM&amp;form=skydnc</v>
    <v>Learn more on Bing</v>
  </rv>
  <rv s="5">
    <v>en-CA</v>
    <v>a1xroc</v>
    <v>268435456</v>
    <v>1</v>
    <v>Powered by Refinitiv</v>
    <v>7</v>
    <v>3M COMPANY (XNYS:MMM)</v>
    <v>8</v>
    <v>9</v>
    <v>Finance</v>
    <v>5</v>
    <v>156.35</v>
    <v>96.76</v>
    <v>1.0097</v>
    <v>-1.43</v>
    <v>2.0320000000000001E-4</v>
    <v>-9.5940000000000001E-3</v>
    <v>0.03</v>
    <v>USD</v>
    <v>3M Company is a diversified technology company. The Company is a manufacturer and marketer of a variety of products and services. The Company’s segments include Safety and Industrial; Transportation and Electronics, and Consumer. Its Safety and Industrial segment includes industrial abrasives and finishing for metalworking applications; autobody repair solutions; industrial specialty products, such as personal hygiene products, masking, and packaging materials, and others. Its Transportation and Electronics segment includes advanced ceramic solutions; attachment/bonding, films, sound and temperature management for transportation vehicles; premium large format graphic films for advertising and fleet signage. Its Consumer segment includes cleaning products for the home; consumer air quality products, and picture hanging accessories. Its brands include 3M Cubitron II abrasives, Scotch-Brite, Filtrete, Command, Scotchgard, Meguiar’s, Nexcare, Post-it and others.</v>
    <v>61500</v>
    <v>New York Stock Exchange</v>
    <v>XNYS</v>
    <v>XNYS</v>
    <v>3M Center, Bldg. 220-13E-26A, SAINT PAUL, MN, 55144-1000 US</v>
    <v>148.69</v>
    <v>Consumer Goods Conglomerates</v>
    <v>Stock</v>
    <v>45800.997029039063</v>
    <v>521</v>
    <v>147.01</v>
    <v>79446340000</v>
    <v>3M COMPANY</v>
    <v>3M COMPANY</v>
    <v>147.44999999999999</v>
    <v>18.577400000000001</v>
    <v>149.05000000000001</v>
    <v>147.62</v>
    <v>147.65</v>
    <v>538181300</v>
    <v>MMM</v>
    <v>3M COMPANY (XNYS:MMM)</v>
    <v>2369839</v>
    <v>3446189</v>
    <v>1929</v>
  </rv>
  <rv s="4">
    <v>522</v>
  </rv>
  <rv s="0">
    <v>https://www.bing.com/financeapi/forcetrigger?t=a1vv8m&amp;q=XNYS%3aITW&amp;form=skydnc</v>
    <v>Learn more on Bing</v>
  </rv>
  <rv s="5">
    <v>en-CA</v>
    <v>a1vv8m</v>
    <v>268435456</v>
    <v>1</v>
    <v>Powered by Refinitiv</v>
    <v>7</v>
    <v>ILLINOIS TOOL WORKS INC. (XNYS:ITW)</v>
    <v>8</v>
    <v>9</v>
    <v>Finance</v>
    <v>5</v>
    <v>279.12990000000002</v>
    <v>214.66</v>
    <v>1.1273</v>
    <v>-2.87</v>
    <v>1.323E-3</v>
    <v>-1.1728000000000001E-2</v>
    <v>0.32</v>
    <v>USD</v>
    <v>Illinois Tool Works Inc. is a global manufacturer of a diversified range of industrial products and equipment. The Company's segments include Automotive OEM; Food Equipment; Test &amp; Measurement and Electronics; Welding; Polymers &amp; Fluids; Construction Products, and Specialty Products. The Automotive OEM segment produces components and fasteners for automotive-related applications. The Food Equipment segment produces warewashing equipment, cooking equipment, refrigeration equipment, food processing equipment, ventilation and pollution control systems, and others. Its Welding segment produces arc welding equipment and metal arc welding consumables and related accessories. The Construction segment is a supplier of engineered fastening systems and solutions. The Specialty Products segment includes conveyor systems and line automation for the food and beverage industries; plastic consumables such as multipack cans and bottles and related equipment; components for medical devices, and others.</v>
    <v>44000</v>
    <v>New York Stock Exchange</v>
    <v>XNYS</v>
    <v>XNYS</v>
    <v>155 Harlem Ave, 3600 WEST LAKE AVE, GLENVIEW, IL, 60026-1215 US</v>
    <v>242.84</v>
    <v>Consumer Goods Conglomerates</v>
    <v>Stock</v>
    <v>45800.958333344533</v>
    <v>524</v>
    <v>240.9</v>
    <v>70859120000</v>
    <v>ILLINOIS TOOL WORKS INC.</v>
    <v>ILLINOIS TOOL WORKS INC.</v>
    <v>241.52</v>
    <v>21.5382</v>
    <v>244.71</v>
    <v>241.84</v>
    <v>242.16</v>
    <v>293000000</v>
    <v>ITW</v>
    <v>ILLINOIS TOOL WORKS INC. (XNYS:ITW)</v>
    <v>752546</v>
    <v>1220981</v>
    <v>1961</v>
  </rv>
  <rv s="4">
    <v>525</v>
  </rv>
  <rv s="0">
    <v>https://www.bing.com/financeapi/forcetrigger?t=a2w5cw&amp;q=OTCM%3aSMFTF&amp;form=skydnc</v>
    <v>Learn more on Bing</v>
  </rv>
  <rv s="5">
    <v>en-CA</v>
    <v>a2w5cw</v>
    <v>268435456</v>
    <v>1</v>
    <v>Powered by Refinitiv</v>
    <v>7</v>
    <v>SMURFIT WESTROCK PUBLIC LIMITED COMPANY (XNYS:SW)</v>
    <v>8</v>
    <v>9</v>
    <v>Finance</v>
    <v>5</v>
    <v>56.985700000000001</v>
    <v>37.01</v>
    <v>1.0294000000000001</v>
    <v>-0.74</v>
    <v>0</v>
    <v>-1.6636999999999999E-2</v>
    <v>0</v>
    <v>USD</v>
    <v>Smurfit Westrock plc is a multinational provider of sustainable fiber-based paper and packaging solutions. Its segments include Europe, the Middle East and Africa (MEA), and Asia-Pacific (APAC); North America, which includes operations in the United States., Canada and Mexico. The Europe, MEA and APAC, North America, and LATAM segments include a system of mills and plants that primarily produce a full line of containerboard that is converted into corrugated containers within each segment or is sold to third parties. In addition, the Europe, MEA and APAC segment also produces types of paper, such as solid board, sack kraft paper, machine glazed and graphic paper; and other paper-based packaging, such as honeycomb, solid board packaging, folding cartons, inserts and labels, and bag-in-box packaging. The LATAM segment comprises forestry; types of paper, such as boxboard and sack paper, and paper-based packaging, such as folding cartons, honeycomb and paper sacks.</v>
    <v>100000</v>
    <v>New York Stock Exchange</v>
    <v>XNYS</v>
    <v>XNYS</v>
    <v>Beech Hill, Clonskeagh, DUBLIN, DUBLIN, D04 N2R2 IE</v>
    <v>44.33</v>
    <v>Containers &amp; Packaging</v>
    <v>Stock</v>
    <v>45800.958333344533</v>
    <v>527</v>
    <v>43.6</v>
    <v>22832830000</v>
    <v>SMURFIT WESTROCK PUBLIC LIMITED COMPANY</v>
    <v>SMURFIT WESTROCK PUBLIC LIMITED COMPANY</v>
    <v>43.69</v>
    <v>45.985599999999998</v>
    <v>44.48</v>
    <v>43.74</v>
    <v>43.74</v>
    <v>522012600</v>
    <v>SW</v>
    <v>SMURFIT WESTROCK PUBLIC LIMITED COMPANY (XNYS:SW)</v>
    <v>2015661</v>
    <v>3388189</v>
    <v>2017</v>
  </rv>
  <rv s="4">
    <v>528</v>
  </rv>
  <rv s="0">
    <v>https://www.bing.com/financeapi/forcetrigger?t=a1zxa2&amp;q=XNYS%3aPKG&amp;form=skydnc</v>
    <v>Learn more on Bing</v>
  </rv>
  <rv s="5">
    <v>en-CA</v>
    <v>a1zxa2</v>
    <v>268435456</v>
    <v>1</v>
    <v>Powered by Refinitiv</v>
    <v>7</v>
    <v>PACKAGING CORPORATION OF AMERICA (XNYS:PKG)</v>
    <v>8</v>
    <v>9</v>
    <v>Finance</v>
    <v>5</v>
    <v>250.82</v>
    <v>172.715</v>
    <v>0.86339999999999995</v>
    <v>-1.83</v>
    <v>0</v>
    <v>-9.5049999999999996E-3</v>
    <v>0</v>
    <v>USD</v>
    <v>Packaging Corporation of America is a producer of containerboard products and a producer of uncoated freesheet (UFS) paper in North America. The Company operates eight mills and 86 corrugated products plants and related facilities. Its segments include Packaging, Paper and Corporate and Other. Its containerboard mills produce linerboard and corrugating medium, which are papers primarily used in the production of corrugated products. Its corrugated products manufacturing plants produce a variety of corrugated packaging products. In addition, it also produces packaging for meat, fresh fruit, and vegetables, processed food, beverages, and other industrial and consumer products. It manufactures and sells papers, including both commodity and specialty papers, which may have custom or specialized features, such as colors, coatings, high brightness, and recycled content. Its papers consist of communication papers, including cut-size office papers, and printing and converting papers.</v>
    <v>15400</v>
    <v>New York Stock Exchange</v>
    <v>XNYS</v>
    <v>XNYS</v>
    <v>1 North Field Ct, LAKE FOREST, IL, 60045 US</v>
    <v>191.48</v>
    <v>Containers &amp; Packaging</v>
    <v>Stock</v>
    <v>45800.958333344533</v>
    <v>530</v>
    <v>189.25</v>
    <v>17159190000</v>
    <v>PACKAGING CORPORATION OF AMERICA</v>
    <v>PACKAGING CORPORATION OF AMERICA</v>
    <v>190.02</v>
    <v>20.137899999999998</v>
    <v>192.53</v>
    <v>190.7</v>
    <v>190.7</v>
    <v>89980000</v>
    <v>PKG</v>
    <v>PACKAGING CORPORATION OF AMERICA (XNYS:PKG)</v>
    <v>594739</v>
    <v>847776</v>
    <v>1999</v>
  </rv>
  <rv s="4">
    <v>531</v>
  </rv>
  <rv s="0">
    <v>https://www.bing.com/financeapi/forcetrigger?t=a1oma2&amp;q=XNYS%3aBALL&amp;form=skydnc</v>
    <v>Learn more on Bing</v>
  </rv>
  <rv s="5">
    <v>en-CA</v>
    <v>a1oma2</v>
    <v>268435456</v>
    <v>1</v>
    <v>Powered by Refinitiv</v>
    <v>7</v>
    <v>BALL CORPORATION (XNYS:BALL)</v>
    <v>8</v>
    <v>9</v>
    <v>Finance</v>
    <v>5</v>
    <v>70.28</v>
    <v>43.51</v>
    <v>1.0819000000000001</v>
    <v>-1.56</v>
    <v>-1.9320000000000001E-4</v>
    <v>-2.9256999999999998E-2</v>
    <v>-0.01</v>
    <v>USD</v>
    <v>Ball Corporation (Ball) supplies sustainable aluminum packaging solutions for beverage, personal care and household products customers. Its packaging products are produced for a variety of end uses. The Company sells its aluminum packaging products mainly to large, multinational beverage, personal care and household products companies. The Company operates in three segments: Beverage packaging, North and Central America; Beverage packaging, EMEA, and Beverage packaging, South America. The Beverage packaging, North and Central America segment manufactures and sells aluminum beverage containers throughout the United States, Canada, and Mexico. The Beverage packaging, EMEA segment manufactures and sells aluminum beverage containers in various countries throughout Europe, as well as Egypt and Turkey. The Beverage packaging, South America segment manufactures and sells aluminum beverage containers in Brazil, Argentina, Paraguay and Chile.</v>
    <v>16000</v>
    <v>New York Stock Exchange</v>
    <v>XNYS</v>
    <v>XNYS</v>
    <v>9200 W. 108th Circle, P.O. Box 5000, WESTMINSTER, CO, 80021-2510 US</v>
    <v>52.98</v>
    <v>Containers &amp; Packaging</v>
    <v>Stock</v>
    <v>45800.958333356248</v>
    <v>533</v>
    <v>51.64</v>
    <v>14359130000</v>
    <v>BALL CORPORATION</v>
    <v>BALL CORPORATION</v>
    <v>52.86</v>
    <v>30.346699999999998</v>
    <v>53.32</v>
    <v>51.76</v>
    <v>51.75</v>
    <v>277417500</v>
    <v>BALL</v>
    <v>BALL CORPORATION (XNYS:BALL)</v>
    <v>3813551</v>
    <v>2785015</v>
    <v>1922</v>
  </rv>
  <rv s="4">
    <v>534</v>
  </rv>
  <rv s="0">
    <v>https://www.bing.com/financeapi/forcetrigger?t=a1o1ar&amp;q=XNYS%3aAVY&amp;form=skydnc</v>
    <v>Learn more on Bing</v>
  </rv>
  <rv s="5">
    <v>en-CA</v>
    <v>a1o1ar</v>
    <v>268435456</v>
    <v>1</v>
    <v>Powered by Refinitiv</v>
    <v>7</v>
    <v>AVERY DENNISON CORPORATION (XNYS:AVY)</v>
    <v>8</v>
    <v>9</v>
    <v>Finance</v>
    <v>5</v>
    <v>233.47499999999999</v>
    <v>157</v>
    <v>0.89739999999999998</v>
    <v>-2.75</v>
    <v>-2.3089999999999999E-3</v>
    <v>-1.5251999999999998E-2</v>
    <v>-0.41</v>
    <v>USD</v>
    <v>Avery Dennison Corporation is a global materials science and digital identification solutions company. The Company provides a range of branding and information solutions that optimize labor and supply chain efficiency, reduce waste, advance sustainability, circularity and transparency, and connect brands and consumers. Its Materials Group segment manufactures and sells pressure-sensitive label materials, films for graphic and reflective products, performance tapes and other adhesive products for industrial, medical and other applications, as well as fastener solutions. Its Solutions Group segment designs, manufactures and sells a variety of branding and information solutions, including brand and price tickets, tags and labels (including radio-frequency identification (RFID) inlays), and related services, supplies and equipment. It serves an array of industries worldwide, including home and personal care, apparel, general retail, e-commerce, logistics, food and grocery, and others.</v>
    <v>35000</v>
    <v>New York Stock Exchange</v>
    <v>XNYS</v>
    <v>XNYS</v>
    <v>8080 Norton Parkway, MENTOR, OH, 44060 US</v>
    <v>178.81</v>
    <v>Containers &amp; Packaging</v>
    <v>Stock</v>
    <v>45800.958333356248</v>
    <v>536</v>
    <v>177.06</v>
    <v>13880070000</v>
    <v>AVERY DENNISON CORPORATION</v>
    <v>AVERY DENNISON CORPORATION</v>
    <v>178.29</v>
    <v>20.728400000000001</v>
    <v>180.3</v>
    <v>177.55</v>
    <v>177.14</v>
    <v>78175560</v>
    <v>AVY</v>
    <v>AVERY DENNISON CORPORATION (XNYS:AVY)</v>
    <v>586550</v>
    <v>746225</v>
    <v>1977</v>
  </rv>
  <rv s="4">
    <v>537</v>
  </rv>
  <rv s="0">
    <v>https://www.bing.com/financeapi/forcetrigger?t=bqejrw&amp;q=XNYS%3aAMCR&amp;form=skydnc</v>
    <v>Learn more on Bing</v>
  </rv>
  <rv s="5">
    <v>en-CA</v>
    <v>bqejrw</v>
    <v>268435456</v>
    <v>1</v>
    <v>Powered by Refinitiv</v>
    <v>7</v>
    <v>Amcor plc (XNYS:AMCR)</v>
    <v>8</v>
    <v>9</v>
    <v>Finance</v>
    <v>5</v>
    <v>11.48</v>
    <v>8.3699999999999992</v>
    <v>0.7389</v>
    <v>-7.0000000000000007E-2</v>
    <v>8.9289999999999994E-3</v>
    <v>-7.7520000000000002E-3</v>
    <v>0.08</v>
    <v>USD</v>
    <v>Amcor plc is engaged in packaging solutions for consumer and healthcare products. The Company develops sustainable packaging in flexible and rigid formats across multiple materials. The Company operates through two segments: Flexibles and Rigid Packaging.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broad range of predominantly beverage and food products, including carbonated soft drinks, water, juices, sports drinks, milk-based beverages, spirits and wine, sauces, dressings, spreads and personal care items, and plastic caps for a wide variety of applications. The Company's subsidiaries include Berry Global Group Inc., Amcor Flexibles North America, Inc., Amcor UK Finance plc, Amcor Finance (USA), Inc., and others.</v>
    <v>35000</v>
    <v>New York Stock Exchange</v>
    <v>XNYS</v>
    <v>XNYS</v>
    <v>Thurgauerstrasse 34, ZUERICH, ZUERICH, 8050 CH</v>
    <v>8.9849999999999994</v>
    <v>Containers &amp; Packaging</v>
    <v>Stock</v>
    <v>45800.996366110936</v>
    <v>539</v>
    <v>8.85</v>
    <v>20655880000</v>
    <v>Amcor plc</v>
    <v>Amcor plc</v>
    <v>8.9499999999999993</v>
    <v>16.1877</v>
    <v>9.0299999999999994</v>
    <v>8.9600000000000009</v>
    <v>9.0399999999999991</v>
    <v>2305343000</v>
    <v>AMCR</v>
    <v>Amcor plc (XNYS:AMCR)</v>
    <v>24950851</v>
    <v>45095278</v>
    <v>2018</v>
  </rv>
  <rv s="4">
    <v>540</v>
  </rv>
  <rv s="0">
    <v>https://www.bing.com/financeapi/forcetrigger?t=a1nhlh&amp;q=XNAS%3aAMZN&amp;form=skydnc</v>
    <v>Learn more on Bing</v>
  </rv>
  <rv s="5">
    <v>en-CA</v>
    <v>a1nhlh</v>
    <v>268435456</v>
    <v>1</v>
    <v>Powered by Refinitiv</v>
    <v>7</v>
    <v>AMAZON.COM, INC. (XNAS:AMZN)</v>
    <v>8</v>
    <v>9</v>
    <v>Finance</v>
    <v>5</v>
    <v>242.52</v>
    <v>151.61000000000001</v>
    <v>1.3353999999999999</v>
    <v>-2.11</v>
    <v>-3.2590000000000002E-3</v>
    <v>-1.0388999999999999E-2</v>
    <v>-0.65500000000000003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1560000</v>
    <v>Nasdaq Stock Market</v>
    <v>XNAS</v>
    <v>XNAS</v>
    <v>410 Terry Avenue North, SEATTLE, WA, 98109 US</v>
    <v>202.37</v>
    <v>Diversified Retail</v>
    <v>Stock</v>
    <v>45800.999992939061</v>
    <v>542</v>
    <v>197.85</v>
    <v>2133781000000</v>
    <v>AMAZON.COM, INC.</v>
    <v>AMAZON.COM, INC.</v>
    <v>198.9</v>
    <v>33.1235</v>
    <v>203.1</v>
    <v>200.99</v>
    <v>200.33500000000001</v>
    <v>10616350000</v>
    <v>AMZN</v>
    <v>AMAZON.COM, INC. (XNAS:AMZN)</v>
    <v>33393545</v>
    <v>47093131</v>
    <v>1996</v>
  </rv>
  <rv s="4">
    <v>543</v>
  </rv>
  <rv s="0">
    <v>https://www.bing.com/financeapi/forcetrigger?t=a1q6k2&amp;q=XNAS%3aCOST&amp;form=skydnc</v>
    <v>Learn more on Bing</v>
  </rv>
  <rv s="5">
    <v>en-CA</v>
    <v>a1q6k2</v>
    <v>268435456</v>
    <v>1</v>
    <v>Powered by Refinitiv</v>
    <v>7</v>
    <v>COSTCO WHOLESALE CORPORATION (XNAS:COST)</v>
    <v>8</v>
    <v>9</v>
    <v>Finance</v>
    <v>5</v>
    <v>1078.2349999999999</v>
    <v>788.2</v>
    <v>1.0024999999999999</v>
    <v>-9.6300000000000008</v>
    <v>-4.9580000000000002E-4</v>
    <v>-9.4590000000000004E-3</v>
    <v>-0.5</v>
    <v>USD</v>
    <v>Costco Wholesale Corporation (Costco) operates membership warehouses and e-commerce sites that offer a selection of nationally branded and private-label products in a wide range of categories. The Company buys the majority of its merchandise directly from suppliers and route it to cross-docking consolidation points (depots) or directly to its warehouses. It operates 891 warehouses, including 614 in the United States and Puerto Rico, 108 in Canada, 40 in Mexico, 35 in Japan, 29 in the United Kingdom, 19 in Korea, 15 in Australia, 14 in Taiwan, seven in China, five in Spain, two in France, and one each in Iceland, New Zealand and Sweden. It also operates e-commerce sites in the United States, Canada, the United Kingdom, Mexico, Korea, Taiwan, Japan and Australia. The Company provides wide selection of merchandise, plus the convenience of specialty departments and exclusive member services.</v>
    <v>333000</v>
    <v>Nasdaq Stock Market</v>
    <v>XNAS</v>
    <v>XNAS</v>
    <v>999 Lake Dr, ISSAQUAH, WA, 98027- US</v>
    <v>1015.11</v>
    <v>Diversified Retail</v>
    <v>Stock</v>
    <v>45800.999900786715</v>
    <v>545</v>
    <v>1007</v>
    <v>447454700000</v>
    <v>COSTCO WHOLESALE CORPORATION</v>
    <v>COSTCO WHOLESALE CORPORATION</v>
    <v>1012</v>
    <v>59.435899999999997</v>
    <v>1018.13</v>
    <v>1008.5</v>
    <v>1008</v>
    <v>443683300</v>
    <v>COST</v>
    <v>COSTCO WHOLESALE CORPORATION (XNAS:COST)</v>
    <v>1413916</v>
    <v>1981495</v>
    <v>1987</v>
  </rv>
  <rv s="4">
    <v>546</v>
  </rv>
  <rv s="0">
    <v>https://www.bing.com/financeapi/forcetrigger?t=a249r7&amp;q=XNYS%3aTJX&amp;form=skydnc</v>
    <v>Learn more on Bing</v>
  </rv>
  <rv s="5">
    <v>en-CA</v>
    <v>a249r7</v>
    <v>268435456</v>
    <v>1</v>
    <v>Powered by Refinitiv</v>
    <v>7</v>
    <v>THE TJX COMPANIES, INC. (XNYS:TJX)</v>
    <v>8</v>
    <v>9</v>
    <v>Finance</v>
    <v>5</v>
    <v>135.85</v>
    <v>99.22</v>
    <v>0.91339999999999999</v>
    <v>-3.88</v>
    <v>3.6600000000000001E-3</v>
    <v>-2.9943000000000001E-2</v>
    <v>0.46</v>
    <v>USD</v>
    <v>The TJX Companies, Inc. is an off-price apparel and home fashions retailer in the United States (U.S.) and worldwide. The Company's segments include Marmaxx and HomeGoods, both in the U.S., TJX Canada and TJX International, including Europe and Australia. The TJ Maxx and Marshalls chains sell family apparel, including footwear and accessories, home fashions, including home basics, decorative accessories, and giftware and other merchandise. The HomeGoods segment operates HomeGoods and Homesense chains. HomeGoods offers an eclectic assortment of home fashions, including furniture, rugs, lighting, soft home, decorative accessories, tabletop, and cookware, as well as expanded pet and gourmet food departments. The TJX Canada segment operates the Winners, HomeSense and Marshalls chains in Canada, offering a range of home decor, furniture, and seasonal home merchandise. The TJX International segment operates the TK Maxx and Homesense chains in Europe and the TK Maxx chain in Australia.</v>
    <v>364000</v>
    <v>New York Stock Exchange</v>
    <v>XNYS</v>
    <v>XNYS</v>
    <v>770 Cochituate Rd, FRAMINGHAM, MA, 01701 US</v>
    <v>128.12</v>
    <v>Diversified Retail</v>
    <v>Stock</v>
    <v>45800.999968784374</v>
    <v>548</v>
    <v>124.92400000000001</v>
    <v>140343000000</v>
    <v>THE TJX COMPANIES, INC.</v>
    <v>THE TJX COMPANIES, INC.</v>
    <v>128</v>
    <v>30.5383</v>
    <v>129.58000000000001</v>
    <v>125.7</v>
    <v>126.16</v>
    <v>1116492000</v>
    <v>TJX</v>
    <v>THE TJX COMPANIES, INC. (XNYS:TJX)</v>
    <v>8787050</v>
    <v>5223532</v>
    <v>1962</v>
  </rv>
  <rv s="4">
    <v>549</v>
  </rv>
  <rv s="0">
    <v>https://www.bing.com/financeapi/forcetrigger?t=a246z2&amp;q=XNYS%3aTGT&amp;form=skydnc</v>
    <v>Learn more on Bing</v>
  </rv>
  <rv s="5">
    <v>en-CA</v>
    <v>a246z2</v>
    <v>268435456</v>
    <v>1</v>
    <v>Powered by Refinitiv</v>
    <v>7</v>
    <v>TARGET CORPORATION (XNYS:TGT)</v>
    <v>8</v>
    <v>9</v>
    <v>Finance</v>
    <v>5</v>
    <v>167.4</v>
    <v>87.35</v>
    <v>1.2311000000000001</v>
    <v>-0.77</v>
    <v>8.4840000000000002E-4</v>
    <v>-8.1000000000000013E-3</v>
    <v>0.08</v>
    <v>USD</v>
    <v>Target Corporation is a general merchandise retailer selling products to its guests through its stores and digital channels. The Company offers customers, referred to as guests, everyday essentials and fashionable, differentiated merchandise at discounted prices. The majority of its stores offer a wide assortment of general merchandise and food. Its merchandise categories include apparel and accessories, beauty and household essentials, food and beverage, hardlines, and home furnishings and decor. Most of its stores are larger than 170,000 square feet, offer a variety of general merchandise and a full line of food items comparable to traditional supermarkets. Its digital channels include a wide merchandise and food assortment, including many items found in its stores, along with a complementary assortment sold by the Company and third parties. Its brands include A New Day, Ava &amp; Viv, Cloud Island, Favorite Day, and others. It serves guests at nearly 2,000 stores and at Target.com.</v>
    <v>440000</v>
    <v>New York Stock Exchange</v>
    <v>XNYS</v>
    <v>XNYS</v>
    <v>1000 Nicollet Mall, MINNEAPOLIS, MN, 55403 US</v>
    <v>95.18</v>
    <v>Diversified Retail</v>
    <v>Stock</v>
    <v>45800.99986950156</v>
    <v>551</v>
    <v>93.14</v>
    <v>42842060000</v>
    <v>TARGET CORPORATION</v>
    <v>TARGET CORPORATION</v>
    <v>93.14</v>
    <v>10.4489</v>
    <v>95.06</v>
    <v>94.29</v>
    <v>94.37</v>
    <v>454364800</v>
    <v>TGT</v>
    <v>TARGET CORPORATION (XNYS:TGT)</v>
    <v>7373841</v>
    <v>7854943</v>
    <v>1902</v>
  </rv>
  <rv s="4">
    <v>552</v>
  </rv>
  <rv s="0">
    <v>https://www.bing.com/financeapi/forcetrigger?t=a1qyvh&amp;q=XNYS%3aDG&amp;form=skydnc</v>
    <v>Learn more on Bing</v>
  </rv>
  <rv s="5">
    <v>en-CA</v>
    <v>a1qyvh</v>
    <v>268435456</v>
    <v>1</v>
    <v>Powered by Refinitiv</v>
    <v>7</v>
    <v>DOLLAR GENERAL CORPORATION (XNYS:DG)</v>
    <v>8</v>
    <v>9</v>
    <v>Finance</v>
    <v>5</v>
    <v>145.94</v>
    <v>66.430000000000007</v>
    <v>0.27250000000000002</v>
    <v>0.75</v>
    <v>4.9309999999999996E-3</v>
    <v>7.4519999999999994E-3</v>
    <v>0.5</v>
    <v>USD</v>
    <v>Dollar General Corporation is a discount retailer. The Company offers merchandise, including consumable items, seasonal items, home products and apparel. Its merchandise includes brands from manufacturers, as well as its own private brand selections with prices at discounts to brands. Its consumables category includes paper and cleaning products, packaged food, perishables, snacks, health and beauty, pet, and tobacco products. Its seasonal products include holiday items, toys, batteries, small electronics, greeting cards, stationery, prepaid phones and accessories, gardening supplies, hardware, automotive and home office supplies. Its home products include kitchen supplies, cookware, small appliances, light bulbs, storage containers, frames, candles, craft supplies and kitchen, bed and bath soft goods. The Company’s apparel products include basic items for infants, toddlers, girls, boys, women and men, as well as socks, underwear, disposable diapers, shoes and accessories.</v>
    <v>194200</v>
    <v>New York Stock Exchange</v>
    <v>XNYS</v>
    <v>XNYS</v>
    <v>100 Mission Ridge, GOODLETTSVILLE, TN, 37072-2171 US</v>
    <v>101.9799</v>
    <v>Diversified Retail</v>
    <v>Stock</v>
    <v>45800.99864680547</v>
    <v>554</v>
    <v>100.46720000000001</v>
    <v>22300430000</v>
    <v>DOLLAR GENERAL CORPORATION</v>
    <v>DOLLAR GENERAL CORPORATION</v>
    <v>100.88</v>
    <v>19.679600000000001</v>
    <v>100.64</v>
    <v>101.39</v>
    <v>101.89</v>
    <v>219947100</v>
    <v>DG</v>
    <v>DOLLAR GENERAL CORPORATION (XNYS:DG)</v>
    <v>2240386</v>
    <v>3647075</v>
    <v>1998</v>
  </rv>
  <rv s="4">
    <v>555</v>
  </rv>
  <rv s="0">
    <v>https://www.bing.com/financeapi/forcetrigger?t=a1r63m&amp;q=XNAS%3aDLTR&amp;form=skydnc</v>
    <v>Learn more on Bing</v>
  </rv>
  <rv s="5">
    <v>en-CA</v>
    <v>a1r63m</v>
    <v>268435456</v>
    <v>1</v>
    <v>Powered by Refinitiv</v>
    <v>7</v>
    <v>DOLLAR TREE, INC. (XNAS:DLTR)</v>
    <v>8</v>
    <v>9</v>
    <v>Finance</v>
    <v>5</v>
    <v>121.92</v>
    <v>60.49</v>
    <v>0.83089999999999997</v>
    <v>-1.8</v>
    <v>6.0109999999999999E-3</v>
    <v>-2.0007E-2</v>
    <v>0.53</v>
    <v>USD</v>
    <v>Dollar Tree, Inc. is an operator of retail discount stores operating under the brand names of Dollar Tree and Dollar Tree Canada. The Company operates approximately 8,628 stores across 48 states and the District of Columbia and operates 253 stores across five Canadian provinces. The Dollar Tree segment operates a discount variety of stores offering merchandise at the opening price point. The Dollar Tree segment includes its operations under the Dollar Tree and Dollar Tree Canada brands, over 15 distribution centers in the United States and two distribution centers in Canada. Its Dollar Tree Canada stores carry a range of products such as kitchen and dining, cleaning supplies, food and beverages, health and beauty, toys, party supplies, stationery, craft supplies, seasonal decor, and others. It also offers customers same-day local delivery. The Company also offers Dollar Tree Gift Cards and can be purchased in stores and online and redeemed in any one of its store locations.</v>
    <v>64434</v>
    <v>Nasdaq Stock Market</v>
    <v>XNAS</v>
    <v>XNAS</v>
    <v>500 Volvo Parkway, CHESAPEAKE, VA, 23320 US</v>
    <v>88.92</v>
    <v>Diversified Retail</v>
    <v>Stock</v>
    <v>45800.998085080471</v>
    <v>557</v>
    <v>87.55</v>
    <v>18528730000</v>
    <v>DOLLAR TREE, INC.</v>
    <v>DOLLAR TREE, INC.</v>
    <v>88.35</v>
    <v>18.640499999999999</v>
    <v>89.97</v>
    <v>88.17</v>
    <v>88.7</v>
    <v>210147800</v>
    <v>DLTR</v>
    <v>DOLLAR TREE, INC. (XNAS:DLTR)</v>
    <v>2462453</v>
    <v>3933028</v>
    <v>2008</v>
  </rv>
  <rv s="4">
    <v>558</v>
  </rv>
  <rv s="0">
    <v>https://www.bing.com/financeapi/forcetrigger?t=a1wmu2&amp;q=XNYS%3aKR&amp;form=skydnc</v>
    <v>Learn more on Bing</v>
  </rv>
  <rv s="5">
    <v>en-CA</v>
    <v>a1wmu2</v>
    <v>268435456</v>
    <v>1</v>
    <v>Powered by Refinitiv</v>
    <v>7</v>
    <v>THE KROGER CO. (XNYS:KR)</v>
    <v>8</v>
    <v>9</v>
    <v>Finance</v>
    <v>5</v>
    <v>73.63</v>
    <v>49.04</v>
    <v>0.59419999999999995</v>
    <v>0.64</v>
    <v>2.333E-3</v>
    <v>9.4190000000000003E-3</v>
    <v>0.16</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45202-1141 US</v>
    <v>69.439899999999994</v>
    <v>Food &amp; Drug Retailing</v>
    <v>Stock</v>
    <v>45800.997776203127</v>
    <v>560</v>
    <v>68.03</v>
    <v>45670860000</v>
    <v>THE KROGER CO.</v>
    <v>THE KROGER CO.</v>
    <v>68.819999999999993</v>
    <v>18.4968</v>
    <v>67.95</v>
    <v>68.59</v>
    <v>68.75</v>
    <v>665853100</v>
    <v>KR</v>
    <v>THE KROGER CO. (XNYS:KR)</v>
    <v>5516823</v>
    <v>7558097</v>
    <v>1902</v>
  </rv>
  <rv s="4">
    <v>561</v>
  </rv>
  <rv s="0">
    <v>https://www.bing.com/financeapi/forcetrigger?t=a23wlh&amp;q=XNYS%3aSYY&amp;form=skydnc</v>
    <v>Learn more on Bing</v>
  </rv>
  <rv s="5">
    <v>en-CA</v>
    <v>a23wlh</v>
    <v>268435456</v>
    <v>1</v>
    <v>Powered by Refinitiv</v>
    <v>7</v>
    <v>SYSCO CORPORATION (XNYS:SYY)</v>
    <v>8</v>
    <v>9</v>
    <v>Finance</v>
    <v>5</v>
    <v>82.23</v>
    <v>67.12</v>
    <v>0.81940000000000002</v>
    <v>-0.51</v>
    <v>7.4160000000000007E-3</v>
    <v>-7.0850000000000002E-3</v>
    <v>0.53</v>
    <v>USD</v>
    <v>Sysco Corporation is engaged in selling, marketing and distributing food products to restaurants, healthcare and educational facilities, lodging establishments and other customers who prepare meals away from home. It also supplies a variety of non-food items. Its segments include U.S. Foodservice Operations, International Foodservice Operations, SYGMA and Other. U.S. Foodservice Operations segment includes United States Broadline operations and United States Specialty operations. International Foodservice Operations include operations outside of the United States. SYGMA segment includes its United States customized distribution operations serving quick-service chain restaurant customer locations. Other segment includes primarily its hotel supply operations, Guest Worldwide. It distributes various products, such as frozen foods, fresh meats and seafood, dairy products, beverage products, imported specialties, and fresh produce. It operates around 340 distribution facilities worldwide.</v>
    <v>76000</v>
    <v>New York Stock Exchange</v>
    <v>XNYS</v>
    <v>XNYS</v>
    <v>1390 Enclave Pkwy, HOUSTON, TX, 77077 US</v>
    <v>71.739999999999995</v>
    <v>Food &amp; Drug Retailing</v>
    <v>Stock</v>
    <v>45800.987538055466</v>
    <v>563</v>
    <v>71</v>
    <v>34645200000</v>
    <v>SYSCO CORPORATION</v>
    <v>SYSCO CORPORATION</v>
    <v>71</v>
    <v>18.622199999999999</v>
    <v>71.98</v>
    <v>71.47</v>
    <v>72</v>
    <v>484751700</v>
    <v>SYY</v>
    <v>SYSCO CORPORATION (XNYS:SYY)</v>
    <v>2628417</v>
    <v>3177414</v>
    <v>1969</v>
  </rv>
  <rv s="4">
    <v>564</v>
  </rv>
  <rv s="0">
    <v>https://www.bing.com/financeapi/forcetrigger?t=a25pm7&amp;q=XNAS%3aWBA&amp;form=skydnc</v>
    <v>Learn more on Bing</v>
  </rv>
  <rv s="5">
    <v>en-CA</v>
    <v>a25pm7</v>
    <v>268435456</v>
    <v>1</v>
    <v>Powered by Refinitiv</v>
    <v>7</v>
    <v>WALGREENS BOOTS ALLIANCE, INC. (XNAS:WBA)</v>
    <v>8</v>
    <v>9</v>
    <v>Finance</v>
    <v>5</v>
    <v>16.399999999999999</v>
    <v>8.08</v>
    <v>0.74650000000000005</v>
    <v>-7.0000000000000007E-2</v>
    <v>-1.8079999999999999E-3</v>
    <v>-6.228E-3</v>
    <v>-2.0199999999999999E-2</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11.21</v>
    <v>Food &amp; Drug Retailing</v>
    <v>Stock</v>
    <v>45800.998650566406</v>
    <v>566</v>
    <v>11.095000000000001</v>
    <v>9659122000</v>
    <v>WALGREENS BOOTS ALLIANCE, INC.</v>
    <v>WALGREENS BOOTS ALLIANCE, INC.</v>
    <v>11.19</v>
    <v>0</v>
    <v>11.24</v>
    <v>11.17</v>
    <v>11.149800000000001</v>
    <v>864737900</v>
    <v>WBA</v>
    <v>WALGREENS BOOTS ALLIANCE, INC. (XNAS:WBA)</v>
    <v>9769714</v>
    <v>8492057</v>
    <v>2014</v>
  </rv>
  <rv s="4">
    <v>567</v>
  </rv>
  <rv s="0">
    <v>https://www.bing.com/financeapi/forcetrigger?t=a1uj52&amp;q=XNYS%3aHD&amp;form=skydnc</v>
    <v>Learn more on Bing</v>
  </rv>
  <rv s="5">
    <v>en-CA</v>
    <v>a1uj52</v>
    <v>268435456</v>
    <v>1</v>
    <v>Powered by Refinitiv</v>
    <v>7</v>
    <v>THE HOME DEPOT, INC. (XNYS:HD)</v>
    <v>8</v>
    <v>9</v>
    <v>Finance</v>
    <v>5</v>
    <v>439.37</v>
    <v>323.77</v>
    <v>1.0246999999999999</v>
    <v>-3.42</v>
    <v>-7.3529999999999993E-4</v>
    <v>-9.3410000000000003E-3</v>
    <v>-0.26669999999999999</v>
    <v>USD</v>
    <v>The Home Depot, Inc. is a home improvement retailer. The Company offers a wide assortment of building materials, home improvement products, lawn and garden products, decor products, and facilities maintenance, repair, and operations products, in stores and online. It also provides various services, including home improvement installation services, and tool and equipment rental. The Company operates 2,347 stores located throughout the United States, including the Commonwealth of Puerto Rico and the territories of the United States Virgin Islands and Guam, Canada, and Mexico. Its stores average approximately 104,000 square feet of enclosed space, with approximately 24,000 additional square feet of outside garden area. The Company serves two primary customer groups, including both do-it-yourself (DIY) and Do-It-For-Me (DIFM) customers and Professional Customers (Pros). It also maintains a network of distribution and fulfillment centers, as well as e-commerce websites.</v>
    <v>470100</v>
    <v>New York Stock Exchange</v>
    <v>XNYS</v>
    <v>XNYS</v>
    <v>2455 Paces Ferry Road, ATLANTA, GA, 30339 US</v>
    <v>364.71789999999999</v>
    <v>Specialty Retailers</v>
    <v>Stock</v>
    <v>45800.998873217184</v>
    <v>569</v>
    <v>361.15</v>
    <v>360507700000</v>
    <v>THE HOME DEPOT, INC.</v>
    <v>THE HOME DEPOT, INC.</v>
    <v>362.38</v>
    <v>24.8475</v>
    <v>366.13</v>
    <v>362.71</v>
    <v>362.44330000000002</v>
    <v>993928200</v>
    <v>HD</v>
    <v>THE HOME DEPOT, INC. (XNYS:HD)</v>
    <v>3115209</v>
    <v>3146048</v>
    <v>1978</v>
  </rv>
  <rv s="4">
    <v>570</v>
  </rv>
  <rv s="0">
    <v>https://www.bing.com/financeapi/forcetrigger?t=a1x2ur&amp;q=XNYS%3aLOW&amp;form=skydnc</v>
    <v>Learn more on Bing</v>
  </rv>
  <rv s="5">
    <v>en-CA</v>
    <v>a1x2ur</v>
    <v>268435456</v>
    <v>1</v>
    <v>Powered by Refinitiv</v>
    <v>7</v>
    <v>LOWE'S COMPANIES, INC. (XNYS:LOW)</v>
    <v>8</v>
    <v>9</v>
    <v>Finance</v>
    <v>5</v>
    <v>287.01</v>
    <v>206.38499999999999</v>
    <v>0.93</v>
    <v>-2.68</v>
    <v>-3.166E-4</v>
    <v>-1.1977999999999999E-2</v>
    <v>-7.0000000000000007E-2</v>
    <v>USD</v>
    <v>Lowe's Companies, Inc. is a home improvement company. The Company offers a complete line of products for construction, maintenance, repair, remodeling, and decorating. It offers home improvement products in various categories, including appliances, seasonal and outdoor living, lumber, lawn and garden, kitchens and bath, hardware, building materials, millwork, paint, rough plumbing, tools, electrical, flooring, and decor. It is focused on offering a wide selection of national brand-name merchandise complemented by its selection of private brands. Its services include installed sales and Lowe's Protection Plans and Repair Services. The Company offers installation services through independent contractors in many of its product categories. It offers extended protection plans for certain products within the appliances, kitchens and bath, decor, millwork, rough plumbing, electrical, seasonal and outdoor living, tools, and hardware categories. It operates over 1,748 home improvement stores.</v>
    <v>161000</v>
    <v>New York Stock Exchange</v>
    <v>XNYS</v>
    <v>XNYS</v>
    <v>1000 Lowes Blvd, MOORESVILLE, NC, 28117-8520 US</v>
    <v>222.97</v>
    <v>Specialty Retailers</v>
    <v>Stock</v>
    <v>45800.998967441403</v>
    <v>572</v>
    <v>220.26</v>
    <v>123799200000</v>
    <v>LOWE'S COMPANIES, INC.</v>
    <v>LOWE'S COMPANIES, INC.</v>
    <v>220.91</v>
    <v>18.545300000000001</v>
    <v>223.75</v>
    <v>221.07</v>
    <v>221</v>
    <v>560000000</v>
    <v>LOW</v>
    <v>LOWE'S COMPANIES, INC. (XNYS:LOW)</v>
    <v>2958799</v>
    <v>2551023</v>
    <v>1952</v>
  </rv>
  <rv s="4">
    <v>573</v>
  </rv>
  <rv s="0">
    <v>https://www.bing.com/financeapi/forcetrigger?t=a1zbvh&amp;q=XNAS%3aORLY&amp;form=skydnc</v>
    <v>Learn more on Bing</v>
  </rv>
  <rv s="5">
    <v>en-CA</v>
    <v>a1zbvh</v>
    <v>268435456</v>
    <v>1</v>
    <v>Powered by Refinitiv</v>
    <v>7</v>
    <v>O'Reilly Automotive, Inc. (XNAS:ORLY)</v>
    <v>8</v>
    <v>9</v>
    <v>Finance</v>
    <v>5</v>
    <v>1458.37</v>
    <v>947.49</v>
    <v>0.61550000000000005</v>
    <v>9.58</v>
    <v>-3.1719999999999999E-3</v>
    <v>7.0190000000000001E-3</v>
    <v>-4.3600000000000003</v>
    <v>USD</v>
    <v>O’Reilly Automotive, Inc. is a specialty retailer of automotive aftermarket parts, tools, supplies, equipment, and accessories in the United States (U.S.), selling its products to both do-it-yourself (DIY) and professional service provider customers. Its stores carry various product lines, including new and remanufactured automotive hard parts and maintenance items, such as alternators, batteries, brake system components, belts, chassis parts, driveline parts, engine parts, fuel pumps, hoses, starters, temperature control, water pumps, antifreeze, appearance products, engine additives, filters, fluids, lighting, oil, and wiper blades and accessories, such as floor mats, seat covers, and truck accessories. Its stores offer services and programs, including battery diagnostic testing; battery, wiper, and bulb replacement; a loaner tool program; custom hydraulic hoses, drum and rotor resurfacing, electrical and module testing, used oil, oil filter, and battery recycling; and others.</v>
    <v>78111</v>
    <v>Nasdaq Stock Market</v>
    <v>XNAS</v>
    <v>XNAS</v>
    <v>233 S Patterson Ave, SPRINGFIELD, MO, 65802 US</v>
    <v>1381.56</v>
    <v>Specialty Retailers</v>
    <v>Stock</v>
    <v>45800.993643367969</v>
    <v>575</v>
    <v>1358.62</v>
    <v>78324590000</v>
    <v>O'Reilly Automotive, Inc.</v>
    <v>O'Reilly Automotive, Inc.</v>
    <v>1360.87</v>
    <v>33.446800000000003</v>
    <v>1364.79</v>
    <v>1374.37</v>
    <v>1370.01</v>
    <v>56989450</v>
    <v>ORLY</v>
    <v>O'Reilly Automotive, Inc. (XNAS:ORLY)</v>
    <v>287391</v>
    <v>421371</v>
    <v>2010</v>
  </rv>
  <rv s="4">
    <v>576</v>
  </rv>
  <rv s="0">
    <v>https://www.bing.com/financeapi/forcetrigger?t=a1o3tc&amp;q=XNYS%3aAZO&amp;form=skydnc</v>
    <v>Learn more on Bing</v>
  </rv>
  <rv s="5">
    <v>en-CA</v>
    <v>a1o3tc</v>
    <v>268435456</v>
    <v>1</v>
    <v>Powered by Refinitiv</v>
    <v>7</v>
    <v>AUTOZONE, INC. (XNYS:AZO)</v>
    <v>8</v>
    <v>9</v>
    <v>Finance</v>
    <v>5</v>
    <v>3916.81</v>
    <v>2728.9650000000001</v>
    <v>0.4148</v>
    <v>-32.79</v>
    <v>3.539E-3</v>
    <v>-8.4960000000000001E-3</v>
    <v>13.54</v>
    <v>USD</v>
    <v>AutoZone, Inc. is a retailer and distributor of automotive replacement parts and accessories in the Americas. Its Auto Parts Stores segment is a retailer and distributor of automotive parts and accessories through its approximately 7,353 stores in the United States, Mexico and Brazil. Each store carries an extensive product line for cars, sport utility vehicles, vans and light duty trucks, including new and remanufactured automotive hard parts, maintenance items, accessories and non-automotive products. The Company also sells automotive hard parts, maintenance items, accessories and non-automotive products through www.autozone.com, and its commercial customers can make purchases through www.autozonepro.com. In addition, the Company sells the ALLDATA brand of automotive diagnostic, repair, collision and shop management software through www.alldata.com. It also provides product information on its Duralast branded products through www.duralastparts.com.</v>
    <v>75600</v>
    <v>New York Stock Exchange</v>
    <v>XNYS</v>
    <v>XNYS</v>
    <v>123 South Front St, MEMPHIS, TN, 38103 US</v>
    <v>3882.87</v>
    <v>Specialty Retailers</v>
    <v>Stock</v>
    <v>45800.996958703123</v>
    <v>578</v>
    <v>3821.9549999999999</v>
    <v>64011540000</v>
    <v>AUTOZONE, INC.</v>
    <v>AUTOZONE, INC.</v>
    <v>3855.01</v>
    <v>25.9131</v>
    <v>3859.25</v>
    <v>3826.46</v>
    <v>3840</v>
    <v>16728660</v>
    <v>AZO</v>
    <v>AUTOZONE, INC. (XNYS:AZO)</v>
    <v>151279</v>
    <v>108703</v>
    <v>1991</v>
  </rv>
  <rv s="4">
    <v>579</v>
  </rv>
  <rv s="0">
    <v>https://www.bing.com/financeapi/forcetrigger?t=a227lh&amp;q=XNAS%3aROST&amp;form=skydnc</v>
    <v>Learn more on Bing</v>
  </rv>
  <rv s="5">
    <v>en-CA</v>
    <v>a227lh</v>
    <v>268435456</v>
    <v>1</v>
    <v>Powered by Refinitiv</v>
    <v>7</v>
    <v>ROSS STORES, INC. (XNAS:ROST)</v>
    <v>8</v>
    <v>9</v>
    <v>Finance</v>
    <v>5</v>
    <v>163.6</v>
    <v>122.36</v>
    <v>1.1596</v>
    <v>-14.99</v>
    <v>-6.5570000000000005E-4</v>
    <v>-9.8455999999999988E-2</v>
    <v>-0.09</v>
    <v>USD</v>
    <v>Ross Stores, Inc. is engaged in operating two brands of off-price retail apparel and home fashion stores-Ross Dress for Less (Ross) and dds DISCOUNTS. Ross is the off-price apparel and home fashion chain in the United States, with approximately 1,831 locations in 43 states, the District of Columbia, and Guam. Ross offers in-season, name brand and designer apparel, accessories, footwear, and home fashions for the entire family at savings of 20% to 60% off department and specialty store regular prices every day. Ross target customers are primarily from middle-income households. It also operates approximately 355 dds DISCOUNTS stores in 22 states. dds DISCOUNTS features more moderately-priced in- season, name brand apparel, accessories, footwear, and home fashions for the entire family at savings of 20% to 70% off moderate department and discount store regular prices every day. It operates a total of approximately 2,186 stores.</v>
    <v>107000</v>
    <v>Nasdaq Stock Market</v>
    <v>XNAS</v>
    <v>XNAS</v>
    <v>5130 Hacienda Drive, DUBLIN, CA, 94568 US</v>
    <v>139.9</v>
    <v>Specialty Retailers</v>
    <v>Stock</v>
    <v>45800.999368610937</v>
    <v>581</v>
    <v>129.19499999999999</v>
    <v>45135790000</v>
    <v>ROSS STORES, INC.</v>
    <v>ROSS STORES, INC.</v>
    <v>134.6</v>
    <v>24.082100000000001</v>
    <v>152.25</v>
    <v>137.26</v>
    <v>137.16999999999999</v>
    <v>328834200</v>
    <v>ROST</v>
    <v>ROSS STORES, INC. (XNAS:ROST)</v>
    <v>18535046</v>
    <v>2444481</v>
    <v>1989</v>
  </rv>
  <rv s="4">
    <v>582</v>
  </rv>
  <rv s="0">
    <v>https://www.bing.com/financeapi/forcetrigger?t=a24jvh&amp;q=XNAS%3aTSCO&amp;form=skydnc</v>
    <v>Learn more on Bing</v>
  </rv>
  <rv s="5">
    <v>en-CA</v>
    <v>a24jvh</v>
    <v>268435456</v>
    <v>1</v>
    <v>Powered by Refinitiv</v>
    <v>7</v>
    <v>TRACTOR SUPPLY COMPANY (XNAS:TSCO)</v>
    <v>8</v>
    <v>9</v>
    <v>Finance</v>
    <v>5</v>
    <v>61.527999999999999</v>
    <v>46.8504</v>
    <v>0.76080000000000003</v>
    <v>0.03</v>
    <v>2.0119999999999999E-3</v>
    <v>6.0400000000000004E-4</v>
    <v>0.1</v>
    <v>USD</v>
    <v>Tractor Supply Company is a rural lifestyle retailer in the United States. The Company is focused on supplying the needs of recreational farmers and ranchers. It operates retail stores under the names Tractor Supply Company and Petsense by Tractor Supply. Its stores are located in towns outlying various metropolitan markets and in rural communities. It also offers an expanded assortment of products through the Tractor Supply mobile application and online at TractorSupply.com and Petsense.com. The Company's selection of merchandise consists of various product categories, including livestock, equine and agriculture; companion animal; seasonal and recreation; truck, tool, and hardware, and clothing, gift, and decor. Its brands consist of 4health, American Farmworks, Bit &amp; Bridle, Blue Mountain, C.E. Schmidt, Country Lane, Countyline, Country Tuff, Dumor, Farm Table, Groundwork, Huskee, and JobSmart.</v>
    <v>26000</v>
    <v>Nasdaq Stock Market</v>
    <v>XNAS</v>
    <v>XNAS</v>
    <v>5401 Virginia Way, BRENTWOOD, TN, 37027 US</v>
    <v>49.98</v>
    <v>Specialty Retailers</v>
    <v>Stock</v>
    <v>45800.974585068747</v>
    <v>584</v>
    <v>49.11</v>
    <v>26351090000</v>
    <v>TRACTOR SUPPLY COMPANY</v>
    <v>TRACTOR SUPPLY COMPANY</v>
    <v>49.21</v>
    <v>24.702300000000001</v>
    <v>49.67</v>
    <v>49.7</v>
    <v>49.8</v>
    <v>530202900</v>
    <v>TSCO</v>
    <v>TRACTOR SUPPLY COMPANY (XNAS:TSCO)</v>
    <v>3690154</v>
    <v>5896902</v>
    <v>1982</v>
  </rv>
  <rv s="4">
    <v>585</v>
  </rv>
  <rv s="0">
    <v>https://www.bing.com/financeapi/forcetrigger?t=a1y2ec&amp;q=XNYS%3aMTD&amp;form=skydnc</v>
    <v>Learn more on Bing</v>
  </rv>
  <rv s="5">
    <v>en-CA</v>
    <v>a1y2ec</v>
    <v>268435456</v>
    <v>1</v>
    <v>Powered by Refinitiv</v>
    <v>7</v>
    <v>METTLER-TOLEDO INTERNATIONAL INC. (XNYS:MTD)</v>
    <v>8</v>
    <v>9</v>
    <v>Finance</v>
    <v>5</v>
    <v>1546.93</v>
    <v>946.69</v>
    <v>1.3837999999999999</v>
    <v>-21.86</v>
    <v>-2.8179999999999998E-3</v>
    <v>-1.9243E-2</v>
    <v>-3.14</v>
    <v>USD</v>
    <v>Mettler-Toledo International Inc. is a supplier of precision instruments and services. The Company manufactures a variety of precision instruments and provides value-added services to its customers. Its principal products and services include laboratory instruments, industrial instruments, and retail weighing solutions. The Company makes a variety of precision laboratory instruments for sample preparation, synthesis, analytical bench top, material characterization, and in-line measurement. Its portfolio includes laboratory balances, liquid pipetting solutions, automated laboratory reactors including real-time analytics, titrators, pH meters, and other analytical instruments. It manufactures numerous industrial weighing instruments and related terminals, and offers software solutions for the pharmaceutical, chemical, food, discrete manufacturing, and other industries. It offers weighing and software solutions, which can integrate counter, self-service, backroom and checkout functions.</v>
    <v>16000</v>
    <v>New York Stock Exchange</v>
    <v>XNYS</v>
    <v>XNYS</v>
    <v>1900 Polaris Pkwy, COLUMBUS, OH, 43240 US</v>
    <v>1124.385</v>
    <v>Office Equipment</v>
    <v>Stock</v>
    <v>45800.958333344533</v>
    <v>587</v>
    <v>1103.05</v>
    <v>23154930000</v>
    <v>METTLER-TOLEDO INTERNATIONAL INC.</v>
    <v>METTLER-TOLEDO INTERNATIONAL INC.</v>
    <v>1116.01</v>
    <v>28.3309</v>
    <v>1136</v>
    <v>1114.1400000000001</v>
    <v>1111</v>
    <v>20782790</v>
    <v>MTD</v>
    <v>METTLER-TOLEDO INTERNATIONAL INC. (XNYS:MTD)</v>
    <v>247891</v>
    <v>238769</v>
    <v>1991</v>
  </rv>
  <rv s="4">
    <v>588</v>
  </rv>
  <rv s="0">
    <v>https://www.bing.com/financeapi/forcetrigger?t=a24fmw&amp;q=XNYS%3aTPR&amp;form=skydnc</v>
    <v>Learn more on Bing</v>
  </rv>
  <rv s="5">
    <v>en-CA</v>
    <v>a24fmw</v>
    <v>268435456</v>
    <v>1</v>
    <v>Powered by Refinitiv</v>
    <v>7</v>
    <v>TAPESTRY, INC. (XNYS:TPR)</v>
    <v>8</v>
    <v>9</v>
    <v>Finance</v>
    <v>5</v>
    <v>90.85</v>
    <v>35.229999999999997</v>
    <v>1.4758</v>
    <v>-2.12</v>
    <v>2.862E-3</v>
    <v>-2.6838999999999998E-2</v>
    <v>0.22</v>
    <v>USD</v>
    <v>Tapestry, Inc. is a house of iconic accessories and lifestyle brands. The Company's global house of brands include Coach, kate spade new york and Stuart Weitzman. Coach brand is a global fashion house of accessories and lifestyle collections. Kate Spade New York is a global lifestyle brand that designs things for the everyday, delivering seasonal collections of handbags, ready-to-wear, jewelry, footwear, gifts, home decor and more. Its products include women's handbags, women's accessories, men's and other products. Women's accessories include small leather goods which includes mini and micro handbags, money pieces, wristlets, pouches and cosmetic cases. Men's includes bag collections, small leather goods, footwear, watches, sunglasses, and ready-to-wear items. Its products are sold to customers through its direct-to-consumer (DTC), wholesale and licensing businesses. Its DTC business includes retail and outlet stores, brand e-commerce sites as well as concession shop-in-shops.</v>
    <v>12500</v>
    <v>New York Stock Exchange</v>
    <v>XNYS</v>
    <v>XNYS</v>
    <v>10 Hudson Yards, NEW YORK, NY, 10001 US</v>
    <v>77.84</v>
    <v>Specialty Retailers</v>
    <v>Stock</v>
    <v>45800.977373240625</v>
    <v>590</v>
    <v>76.290000000000006</v>
    <v>15965140000</v>
    <v>TAPESTRY, INC.</v>
    <v>TAPESTRY, INC.</v>
    <v>77.16</v>
    <v>20.780100000000001</v>
    <v>78.989999999999995</v>
    <v>76.87</v>
    <v>77.09</v>
    <v>207690200</v>
    <v>TPR</v>
    <v>TAPESTRY, INC. (XNYS:TPR)</v>
    <v>3937390</v>
    <v>4394850</v>
    <v>2000</v>
  </rv>
  <rv s="4">
    <v>591</v>
  </rv>
  <rv s="0">
    <v>https://www.bing.com/financeapi/forcetrigger?t=a24war&amp;q=XNAS%3aULTA&amp;form=skydnc</v>
    <v>Learn more on Bing</v>
  </rv>
  <rv s="5">
    <v>en-CA</v>
    <v>a24war</v>
    <v>268435456</v>
    <v>1</v>
    <v>Powered by Refinitiv</v>
    <v>7</v>
    <v>ULTA BEAUTY, INC. (XNAS:ULTA)</v>
    <v>8</v>
    <v>9</v>
    <v>Finance</v>
    <v>5</v>
    <v>459.99990000000003</v>
    <v>309.01</v>
    <v>1.0347</v>
    <v>-3.35</v>
    <v>-2.555E-3</v>
    <v>-8.1630000000000001E-3</v>
    <v>-1.04</v>
    <v>USD</v>
    <v>Ulta Beauty, Inc. is a specialty beauty retailer in the United States. The Company offers cosmetics, fragrance, skin care products, hair care products and salon services. The Company operates approximately 1,445 retail stores across 50 states and also distributes its products through its Website, which includes a collection of tips, tutorials, and social content. It offers guests a differentiated assortment of approximately 29,000 products from approximately 600 beauty brands across a variety of categories and price points. It offers a wide selection of beauty and wellness categories, across cosmetics, fragrance, haircare, skincare, bath and body products, professional hair products, and salon styling tools. It also offers beauty services in nearly every store, including a full-service hair salon and a Benefit Brow Bar. Its loyalty program, Ulta Beauty Rewards, enables members to earn points for every dollar spent on products and beauty services at Ulta Beauty.</v>
    <v>20000</v>
    <v>Nasdaq Stock Market</v>
    <v>XNAS</v>
    <v>XNAS</v>
    <v>1000 Remington Blvd, Suite 120, BOLINGBROOK, IL, 60440 US</v>
    <v>408.48750000000001</v>
    <v>Specialty Retailers</v>
    <v>Stock</v>
    <v>45800.977026770313</v>
    <v>593</v>
    <v>402.76</v>
    <v>18376990000</v>
    <v>ULTA BEAUTY, INC.</v>
    <v>ULTA BEAUTY, INC.</v>
    <v>402.97</v>
    <v>16.174399999999999</v>
    <v>410.39</v>
    <v>407.04</v>
    <v>406</v>
    <v>45147870</v>
    <v>ULTA</v>
    <v>ULTA BEAUTY, INC. (XNAS:ULTA)</v>
    <v>569219</v>
    <v>672589</v>
    <v>2016</v>
  </rv>
  <rv s="4">
    <v>594</v>
  </rv>
  <rv s="5">
    <v>en-CA</v>
    <v>a1o9gh</v>
    <v>268435456</v>
    <v>1</v>
    <v>Powered by Refinitiv</v>
    <v>7</v>
    <v>Best Buy Co., Inc. (XNYS:BBY)</v>
    <v>8</v>
    <v>9</v>
    <v>Finance</v>
    <v>5</v>
    <v>103.71</v>
    <v>54.99</v>
    <v>1.3051999999999999</v>
    <v>-0.84</v>
    <v>1.1440000000000001E-3</v>
    <v>-1.1871E-2</v>
    <v>0.08</v>
    <v>USD</v>
    <v>Best Buy Co., Inc. is engaged in personalizing and humanizing technology solutions. It operates in two segments: Domestic and International. The Domestic segment comprises its operations in all states, districts and territories of the United States and its Best Buy Health business, and includes the brand names Best Buy, Best Buy Ads, Best Buy Business, Best Buy Essentials, Best Buy Health, Current Health, Geek Squad, Imagine That, Insignia, Lively, My Best Buy, My Best Buy Memberships, Pacific Kitchen and Home, TechLiquidators and Yardbird; and the domain names bestbuy.com, currenthealth.com, lively.com, techliquidators.com and yardbird.com. The International segment comprises all operations in Canada under the brand names Best Buy, Best Buy Express, Best Buy Mobile, Geek Squad and TechLiquidators and the domain names bestbuy.ca and techliquidators.ca. Its product categories include computing and mobile phones, consumer electronics, appliances, entertainment, services and others.</v>
    <v>85000</v>
    <v>New York Stock Exchange</v>
    <v>XNYS</v>
    <v>XNYS</v>
    <v>7601 Penn Ave S, RICHFIELD, MN, 55423 US</v>
    <v>70.72</v>
    <v>Specialty Retailers</v>
    <v>Stock</v>
    <v>45800.99632896953</v>
    <v>7</v>
    <v>67.56</v>
    <v>14801050000</v>
    <v>Best Buy Co., Inc.</v>
    <v>Best Buy Co., Inc.</v>
    <v>67.75</v>
    <v>16.542400000000001</v>
    <v>70.760000000000005</v>
    <v>69.92</v>
    <v>70</v>
    <v>211685500</v>
    <v>BBY</v>
    <v>Best Buy Co., Inc. (XNYS:BBY)</v>
    <v>3591184</v>
    <v>3302801</v>
    <v>1966</v>
  </rv>
  <rv s="4">
    <v>596</v>
  </rv>
  <rv s="0">
    <v>https://www.bing.com/financeapi/forcetrigger?t=a1wksm&amp;q=XNYS%3aKMX&amp;form=skydnc</v>
    <v>Learn more on Bing</v>
  </rv>
  <rv s="5">
    <v>en-CA</v>
    <v>a1wksm</v>
    <v>268435456</v>
    <v>1</v>
    <v>Powered by Refinitiv</v>
    <v>7</v>
    <v>CARMAX, INC. (XNYS:KMX)</v>
    <v>8</v>
    <v>9</v>
    <v>Finance</v>
    <v>5</v>
    <v>91.25</v>
    <v>61.340600000000002</v>
    <v>1.3914</v>
    <v>-0.95</v>
    <v>-1.0599000000000001E-2</v>
    <v>-1.5026999999999999E-2</v>
    <v>-0.66</v>
    <v>USD</v>
    <v>CarMax, Inc. is a retailer of used autos. The Company operates through two segments: CarMax Sales Operations and CarMax Auto Finance (CAF). The CarMax Sales Operations segment consists of all aspects of its auto merchandising and service operations. The CarMax Sales Operations segment sells used vehicles, purchases used vehicles from customers and other sources, sells related products and services, and arranges financing options for customers. The CAF segment consists solely of its own finance operation that provides financing for customers buying retail vehicles from the Company. The CAF segment also services all auto loans, it originates and is responsible for providing billing statements, collecting payments, maintaining contact with delinquent customers, and arranging for the repossession of vehicles securing defaulted loans. It provides customers with a range of other related products and services, including extended protection plan (EPP) products and vehicle repair services.</v>
    <v>30048</v>
    <v>New York Stock Exchange</v>
    <v>XNYS</v>
    <v>XNYS</v>
    <v>12800 Tuckahoe Creek Pkwy, RICHMOND, VA, 23238 US</v>
    <v>62.66</v>
    <v>Specialty Retailers</v>
    <v>Stock</v>
    <v>45800.985529895312</v>
    <v>598</v>
    <v>61.340600000000002</v>
    <v>9485881000</v>
    <v>CARMAX, INC.</v>
    <v>CARMAX, INC.</v>
    <v>61.59</v>
    <v>19.732900000000001</v>
    <v>63.22</v>
    <v>62.27</v>
    <v>61.61</v>
    <v>152334700</v>
    <v>KMX</v>
    <v>CARMAX, INC. (XNYS:KMX)</v>
    <v>3156913</v>
    <v>2858000</v>
    <v>1996</v>
  </rv>
  <rv s="4">
    <v>599</v>
  </rv>
  <rv s="0">
    <v>https://www.bing.com/financeapi/forcetrigger?t=a1xlk2&amp;q=XNYS%3aMHK&amp;form=skydnc</v>
    <v>Learn more on Bing</v>
  </rv>
  <rv s="5">
    <v>en-CA</v>
    <v>a1xlk2</v>
    <v>268435456</v>
    <v>1</v>
    <v>Powered by Refinitiv</v>
    <v>7</v>
    <v>MOHAWK INDUSTRIES, INC. (XNYS:MHK)</v>
    <v>8</v>
    <v>9</v>
    <v>Finance</v>
    <v>5</v>
    <v>164.28899999999999</v>
    <v>96.24</v>
    <v>1.2176</v>
    <v>-1.22</v>
    <v>3.5312000000000003E-2</v>
    <v>-1.1923E-2</v>
    <v>3.57</v>
    <v>USD</v>
    <v>Mohawk Industries, Inc. is a flooring manufacturer that creates products to enhance residential and commercial spaces around the world. Its segments include Global Ceramic, Flooring North America (Flooring NA) and Flooring Rest of the World (Flooring ROW). The Global Ceramic segment designs, manufactures, sources, distributes and markets a line of ceramic, porcelain and natural stone tile products used for floor and wall applications in residential and commercial channels. Flooring NA segment designs, manufactures, sources, distributes and markets a range of floor covering products, including broadloom carpet, carpet tile, rugs and mats, carpet pad, laminate, medium-density fiberboard (MDF), wood flooring, LVT and sheet vinyl. Flooring ROW segment designs, manufactures, sources, distributes and markets a variety of laminate, LVT and sheet vinyl, wood flooring, broadloom carpet and carpet tile collections used in residential and commercial markets for remodeling and new construction.</v>
    <v>41900</v>
    <v>New York Stock Exchange</v>
    <v>XNYS</v>
    <v>XNYS</v>
    <v>PO BOX 12069, 160 S INDUSTRIAL BLVD, CALHOUN, GA, 30701 US</v>
    <v>101.36</v>
    <v>Household Goods</v>
    <v>Stock</v>
    <v>45800.958333356248</v>
    <v>601</v>
    <v>99.96</v>
    <v>6321247000</v>
    <v>MOHAWK INDUSTRIES, INC.</v>
    <v>MOHAWK INDUSTRIES, INC.</v>
    <v>100.63</v>
    <v>13.371700000000001</v>
    <v>102.32</v>
    <v>101.1</v>
    <v>104.67</v>
    <v>62524690</v>
    <v>MHK</v>
    <v>MOHAWK INDUSTRIES, INC. (XNYS:MHK)</v>
    <v>375698</v>
    <v>761974</v>
    <v>1988</v>
  </rv>
  <rv s="4">
    <v>602</v>
  </rv>
  <rv s="0">
    <v>https://www.bing.com/financeapi/forcetrigger?t=a1ye2w&amp;q=XNYS%3aNEE&amp;form=skydnc</v>
    <v>Learn more on Bing</v>
  </rv>
  <rv s="5">
    <v>en-CA</v>
    <v>a1ye2w</v>
    <v>268435456</v>
    <v>1</v>
    <v>Powered by Refinitiv</v>
    <v>7</v>
    <v>NEXTERA ENERGY, INC. (XNYS:NEE)</v>
    <v>8</v>
    <v>9</v>
    <v>Finance</v>
    <v>5</v>
    <v>86.1</v>
    <v>61.72</v>
    <v>0.66090000000000004</v>
    <v>0.82</v>
    <v>-1.4760000000000001E-4</v>
    <v>1.225E-2</v>
    <v>-0.01</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67.95</v>
    <v>Electrical Utilities &amp; IPPs</v>
    <v>Stock</v>
    <v>45800.999672928127</v>
    <v>604</v>
    <v>65.97</v>
    <v>139492800000</v>
    <v>NEXTERA ENERGY, INC.</v>
    <v>NEXTERA ENERGY, INC.</v>
    <v>67.010000000000005</v>
    <v>25.0352</v>
    <v>66.94</v>
    <v>67.760000000000005</v>
    <v>67.75</v>
    <v>2058631000</v>
    <v>NEE</v>
    <v>NEXTERA ENERGY, INC. (XNYS:NEE)</v>
    <v>17161105</v>
    <v>14261784</v>
    <v>1984</v>
  </rv>
  <rv s="4">
    <v>605</v>
  </rv>
  <rv s="0">
    <v>https://www.bing.com/financeapi/forcetrigger?t=a23a5r&amp;q=XNYS%3aSO&amp;form=skydnc</v>
    <v>Learn more on Bing</v>
  </rv>
  <rv s="5">
    <v>en-CA</v>
    <v>a23a5r</v>
    <v>268435456</v>
    <v>1</v>
    <v>Powered by Refinitiv</v>
    <v>7</v>
    <v>THE SOUTHERN COMPANY (XNYS:SO)</v>
    <v>8</v>
    <v>9</v>
    <v>Finance</v>
    <v>5</v>
    <v>94.45</v>
    <v>76.64</v>
    <v>0.37009999999999998</v>
    <v>0.8</v>
    <v>-7.1399999999999996E-3</v>
    <v>9.0049999999999991E-3</v>
    <v>-0.64</v>
    <v>USD</v>
    <v>The Southern Company is an energy provider. The Company owns three traditional electric operating companies, Southern Power Company and Southern Company Gas. The traditional electric operating companies-Alabama Power, Georgia Power and Mississippi Power-are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 Illinois, Georgia, Virginia, and Tennessee, through the natural gas distribution utilities. Southern Company Gas is also involved in several other businesses that are complementary to the distribution of natural gas.</v>
    <v>28600</v>
    <v>New York Stock Exchange</v>
    <v>XNYS</v>
    <v>XNYS</v>
    <v>30 Ivan Allen Jr. Blvd., N.W., ATLANTA, GA, 30308 US</v>
    <v>89.75</v>
    <v>Electrical Utilities &amp; IPPs</v>
    <v>Stock</v>
    <v>45800.958333344533</v>
    <v>607</v>
    <v>88.12</v>
    <v>98519300000</v>
    <v>THE SOUTHERN COMPANY</v>
    <v>THE SOUTHERN COMPANY</v>
    <v>89.54</v>
    <v>21.278400000000001</v>
    <v>88.84</v>
    <v>89.64</v>
    <v>89</v>
    <v>1099055000</v>
    <v>SO</v>
    <v>THE SOUTHERN COMPANY (XNYS:SO)</v>
    <v>3129559</v>
    <v>4883593</v>
    <v>1945</v>
  </rv>
  <rv s="4">
    <v>608</v>
  </rv>
  <rv s="0">
    <v>https://www.bing.com/financeapi/forcetrigger?t=a1rdzr&amp;q=XNYS%3aDUK&amp;form=skydnc</v>
    <v>Learn more on Bing</v>
  </rv>
  <rv s="5">
    <v>en-CA</v>
    <v>a1rdzr</v>
    <v>268435456</v>
    <v>1</v>
    <v>Powered by Refinitiv</v>
    <v>7</v>
    <v>DUKE ENERGY CORPORATION (XNYS:DUK)</v>
    <v>8</v>
    <v>9</v>
    <v>Finance</v>
    <v>5</v>
    <v>125.27</v>
    <v>99.21</v>
    <v>0.36280000000000001</v>
    <v>0.92</v>
    <v>3.9489999999999994E-3</v>
    <v>7.9610000000000011E-3</v>
    <v>0.46</v>
    <v>USD</v>
    <v>Duke Energy Corporation is an energy holding company. The Company operates through two segments: Electric Utilities and Infrastructure (EU&amp;I) and Gas Utilities and Infrastructure (GU&amp;I). The EU&amp;I segment conducts operations primarily through the regulated public utilities of Duke Energy Carolinas, Duke Energy Progress, Duke Energy Florida, Duke Energy Indiana and Duke Energy Ohio. EU&amp;I provides retail electric service through the generation, transmission, distribution, and sale of electricity to customers within the Southeast and Midwest regions of the United States. The GU&amp;I segment conducts natural gas operations primarily through the regulated public utilities of Piedmont, Duke Energy Ohio, and Duke Energy Kentucky. GU&amp;I serves residential, commercial, industrial, and power generation natural gas customers, including customers served by municipalities who are wholesale customers. It also purchases a diverse portfolio of transportation and storage services from interstate pipelines.</v>
    <v>26413</v>
    <v>New York Stock Exchange</v>
    <v>XNYS</v>
    <v>XNYS</v>
    <v>525 South Tryon Street, CHARLOTTE, NC, 28202-1803 US</v>
    <v>116.97329999999999</v>
    <v>Electrical Utilities &amp; IPPs</v>
    <v>Stock</v>
    <v>45800.986146851559</v>
    <v>610</v>
    <v>114.86</v>
    <v>90542680000</v>
    <v>DUKE ENERGY CORPORATION</v>
    <v>DUKE ENERGY CORPORATION</v>
    <v>116.72</v>
    <v>19.198799999999999</v>
    <v>115.57</v>
    <v>116.49</v>
    <v>116.95</v>
    <v>777257100</v>
    <v>DUK</v>
    <v>DUKE ENERGY CORPORATION (XNYS:DUK)</v>
    <v>2683839</v>
    <v>3588717</v>
    <v>2005</v>
  </rv>
  <rv s="4">
    <v>611</v>
  </rv>
  <rv s="13">
    <v>en-CA</v>
    <v>ccmvww</v>
    <v>268435456</v>
    <v>1</v>
    <v>Powered by Refinitiv</v>
    <v>32</v>
    <v>GE VERNOVA INC. (XNYS:GEV)</v>
    <v>26</v>
    <v>9</v>
    <v>Finance</v>
    <v>5</v>
    <v>469.81130000000002</v>
    <v>150.01</v>
    <v>1.6619999999999999</v>
    <v>5.57</v>
    <v>1.206E-3</v>
    <v>1.214E-2</v>
    <v>0.56000000000000005</v>
    <v>USD</v>
    <v>GE Vernova Inc. is a global energy company. It designs, manufactures, delivers, and services technologies to create a sustainable electric power system, enabling electrification and decarbonization. Its segments include Power, Wind and Electrification. Power segment includes design, manufacture, and servicing of gas, nuclear, hydro and steam technologies, providing a critical foundation of dispatchable, flexible, stable and reliable power. Wind segment includes its wind generation technologies, inclusive of onshore and offshore wind turbines and blades. Electrification segment includes grid solutions, power conversion, electrification software, and solar and storage solutions technologies required for the transmission, distribution, conversion, storage and orchestration of electricity from point of generation to point of consumption. Its accelerator businesses include consulting services, advanced research and financial services. It has over 57,000 wind turbines and 7,000 gas turbines.</v>
    <v>75000</v>
    <v>New York Stock Exchange</v>
    <v>XNYS</v>
    <v>XNYS</v>
    <v>58 Charles Street, CAMBRIDGE, MA, 02141 US</v>
    <v>469.81130000000002</v>
    <v>Electrical Utilities &amp; IPPs</v>
    <v>Stock</v>
    <v>45800.99979114531</v>
    <v>458.79</v>
    <v>126748200000</v>
    <v>GE VERNOVA INC.</v>
    <v>GE VERNOVA INC.</v>
    <v>460.01</v>
    <v>66.127600000000001</v>
    <v>458.82</v>
    <v>464.39</v>
    <v>464.95</v>
    <v>272934800</v>
    <v>GEV</v>
    <v>GE VERNOVA INC. (XNYS:GEV)</v>
    <v>3571634</v>
    <v>3178701</v>
    <v>2023</v>
  </rv>
  <rv s="4">
    <v>613</v>
  </rv>
  <rv s="0">
    <v>https://www.bing.com/financeapi/forcetrigger?t=c4xjc7&amp;q=XNAS%3aCEG&amp;form=skydnc</v>
    <v>Learn more on Bing</v>
  </rv>
  <rv s="5">
    <v>en-CA</v>
    <v>c4xjc7</v>
    <v>268435456</v>
    <v>1</v>
    <v>Powered by Refinitiv</v>
    <v>7</v>
    <v>CONSTELLATION ENERGY CORPORATION. (XNAS:CEG)</v>
    <v>8</v>
    <v>9</v>
    <v>Finance</v>
    <v>5</v>
    <v>352</v>
    <v>155.6</v>
    <v>1.1025</v>
    <v>6.02</v>
    <v>3.3609999999999998E-5</v>
    <v>2.0653999999999999E-2</v>
    <v>0.01</v>
    <v>USD</v>
    <v>Constellation Energy Corporation is a producer of emissions-free energy and an energy supplier to businesses, homes and public sector customers nationwide. The Company’s nuclear, hydro, wind, and solar generation facilities have the generating capacity to power the equivalent of 16 million homes, providing about 10% of the nation's clean energy in the United States. Its segments include Mid-Atlantic, Midwest, New York, ERCOT, and Other Power Regions. Through its integrated business operations, it sells electricity, natural gas, and other energy-related products and sustainable solutions to various types of customers, including distribution utilities, municipalities, cooperatives, and commercial, industrial, public sector, and residential customers in markets across multiple geographic regions. Its nuclear fleet has a generating capacity of approximately 22 gigawatts (GWs). It operates approximately 10 GWs of natural gas, oil, hydroelectric, wind, and solar generation assets.</v>
    <v>14215</v>
    <v>Nasdaq Stock Market</v>
    <v>XNAS</v>
    <v>XNAS</v>
    <v>1310 Point Street, BALTIMORE, MD, 21231 US</v>
    <v>302.60000000000002</v>
    <v>Electrical Utilities &amp; IPPs</v>
    <v>Stock</v>
    <v>45800.99913976797</v>
    <v>615</v>
    <v>293.11</v>
    <v>93238530000</v>
    <v>CONSTELLATION ENERGY CORPORATION.</v>
    <v>CONSTELLATION ENERGY CORPORATION.</v>
    <v>298.64499999999998</v>
    <v>30.7517</v>
    <v>291.47000000000003</v>
    <v>297.49</v>
    <v>297.5</v>
    <v>313417400</v>
    <v>CEG</v>
    <v>CONSTELLATION ENERGY CORPORATION. (XNAS:CEG)</v>
    <v>5373279</v>
    <v>3020912</v>
    <v>2021</v>
  </rv>
  <rv s="4">
    <v>616</v>
  </rv>
  <rv s="0">
    <v>https://www.bing.com/financeapi/forcetrigger?t=a1mybh&amp;q=XNAS%3aAEP&amp;form=skydnc</v>
    <v>Learn more on Bing</v>
  </rv>
  <rv s="5">
    <v>en-CA</v>
    <v>a1mybh</v>
    <v>268435456</v>
    <v>1</v>
    <v>Powered by Refinitiv</v>
    <v>7</v>
    <v>AMERICAN ELECTRIC POWER COMPANY, INC. (XNAS:AEP)</v>
    <v>8</v>
    <v>9</v>
    <v>Finance</v>
    <v>5</v>
    <v>110.48</v>
    <v>85.93</v>
    <v>0.4178</v>
    <v>1.08</v>
    <v>-1.9439999999999998E-4</v>
    <v>1.0609E-2</v>
    <v>-0.02</v>
    <v>USD</v>
    <v>American Electric Power Company, Inc. is an electric public utility holding company. Its electric utility operating companies provide generation, transmission and distribution services to more than five million retail customers in Arkansas, Indiana, Kentucky, Louisiana, Michigan, Ohio, Oklahoma, Tennessee, Texas, Virginia and West Virginia. Its segments include Vertically Integrated Utilities, Transmission and Distribution Utilities, AEP Transmission Holdco and Generation &amp; Marketing. The Vertically Integrated Utilities is engaged in the generation, transmission and distribution of electricity for sale to retail and wholesale customers. The Transmission and Distribution Utilities consists of the transmission and distribution of electricity for sale to retail and wholesale customers. The AEP Transmission Holdco is engaged in development, construction and operation of transmission facilities. The Generation &amp; Marketing segment conducts Marketing, risk management and retail activities.</v>
    <v>16330</v>
    <v>Nasdaq Stock Market</v>
    <v>XNAS</v>
    <v>XNAS</v>
    <v>1 Riverside Plz, COLUMBUS, OH, 43215-2355 US</v>
    <v>102.96</v>
    <v>Electrical Utilities &amp; IPPs</v>
    <v>Stock</v>
    <v>45800.91653084453</v>
    <v>618</v>
    <v>101.2</v>
    <v>54936650000</v>
    <v>AMERICAN ELECTRIC POWER COMPANY, INC.</v>
    <v>AMERICAN ELECTRIC POWER COMPANY, INC.</v>
    <v>102.64</v>
    <v>19.650300000000001</v>
    <v>101.8</v>
    <v>102.88</v>
    <v>102.86</v>
    <v>533987700</v>
    <v>AEP</v>
    <v>AMERICAN ELECTRIC POWER COMPANY, INC. (XNAS:AEP)</v>
    <v>1888423</v>
    <v>3411968</v>
    <v>1925</v>
  </rv>
  <rv s="4">
    <v>619</v>
  </rv>
  <rv s="0">
    <v>https://www.bing.com/financeapi/forcetrigger?t=a1qpw7&amp;q=XNYS%3aD&amp;form=skydnc</v>
    <v>Learn more on Bing</v>
  </rv>
  <rv s="5">
    <v>en-CA</v>
    <v>a1qpw7</v>
    <v>268435456</v>
    <v>1</v>
    <v>Powered by Refinitiv</v>
    <v>7</v>
    <v>Dominion Energy, Inc. (XNYS:D)</v>
    <v>8</v>
    <v>9</v>
    <v>Finance</v>
    <v>5</v>
    <v>61.97</v>
    <v>47.99</v>
    <v>0.55249999999999999</v>
    <v>0.63</v>
    <v>-1.7770000000000001E-4</v>
    <v>1.1318999999999999E-2</v>
    <v>-0.01</v>
    <v>USD</v>
    <v>Dominion Energy, Inc. is a provider of regulated electricity service to about 3.6 million homes and businesses in Virginia, North Carolina, and South Carolina, and regulated natural gas service to 500,000 customers in South Carolina. It is a developer and operator of regulated offshore wind and solar power and the producer of carbon-free electricity in New England. Its Dominion Energy Virginia segment is composed of Virginia Power’s regulated electric transmission, distribution, and generation operations, which serve homes and businesses in Virginia and North Carolina. Dominion Energy South Carolina segment consists of DESC’s generation, transmission, and distribution of electricity to customers in the central, southern and southwestern portions of South Carolina and the distribution of natural gas to residential, commercial and industrial customers in South Carolina. Its Contracted Energy segment includes nonregulated electric generation fleet and renewable natural gas operations.</v>
    <v>14700</v>
    <v>New York Stock Exchange</v>
    <v>XNYS</v>
    <v>XNYS</v>
    <v>600 EAST CANAL STREET, RICHMOND, VA, 23219 US</v>
    <v>56.47</v>
    <v>Electrical Utilities &amp; IPPs</v>
    <v>Stock</v>
    <v>45800.999079490626</v>
    <v>621</v>
    <v>55.02</v>
    <v>47971190000</v>
    <v>Dominion Energy, Inc.</v>
    <v>Dominion Energy, Inc.</v>
    <v>56</v>
    <v>24.088100000000001</v>
    <v>55.66</v>
    <v>56.29</v>
    <v>56.28</v>
    <v>852215200</v>
    <v>D</v>
    <v>Dominion Energy, Inc. (XNYS:D)</v>
    <v>5958242</v>
    <v>5743118</v>
    <v>1983</v>
  </rv>
  <rv s="4">
    <v>622</v>
  </rv>
  <rv s="0">
    <v>https://www.bing.com/financeapi/forcetrigger?t=a1shjc&amp;q=XNAS%3aEXC&amp;form=skydnc</v>
    <v>Learn more on Bing</v>
  </rv>
  <rv s="5">
    <v>en-CA</v>
    <v>a1shjc</v>
    <v>268435456</v>
    <v>1</v>
    <v>Powered by Refinitiv</v>
    <v>7</v>
    <v>EXELON CORPORATION (XNAS:EXC)</v>
    <v>8</v>
    <v>9</v>
    <v>Finance</v>
    <v>5</v>
    <v>48.11</v>
    <v>34.005000000000003</v>
    <v>0.38869999999999999</v>
    <v>0.25</v>
    <v>9.8469999999999999E-3</v>
    <v>5.7580000000000001E-3</v>
    <v>0.43</v>
    <v>USD</v>
    <v>Exelon Corporation is a utility services holding company engaged in the energy transmission and distribution businesses through its subsidiaries, Commonwealth Edison Company (ComEd), PECO Energy Company (PECO), Baltimore Gas and Electric Company (BGE), Potomac Electric Power Company (Pepco), Delmarva Power &amp; Light Company (DPL) and Atlantic City Electric Company (ACE). Its segments include ComEd, PECO, BGE, Pepco, DPL and ACE. ComEd segment is engaged in purchasing and regulating the retail sale of electricity. PECO segment is engaged in purchasing and regulating the retail sale of electricity and natural gas. Through its business services subsidiary, Exelon Business Services Company, LLC (BSC), it provides its subsidiaries with a variety of support services at cost, including legal, human resources, finance, information technology and supply management services. BGE segment is focused on transmission and distribution of electricity and distribution of natural gas to retail customers.</v>
    <v>20000</v>
    <v>Nasdaq Stock Market</v>
    <v>XNAS</v>
    <v>XNAS</v>
    <v>10 S. Dearborn Street, Po Box 805379, CHICAGO, IL, 60680-5379 US</v>
    <v>43.9</v>
    <v>Electrical Utilities &amp; IPPs</v>
    <v>Stock</v>
    <v>45800.967744837501</v>
    <v>624</v>
    <v>42.99</v>
    <v>44086420000</v>
    <v>EXELON CORPORATION</v>
    <v>EXELON CORPORATION</v>
    <v>43.9</v>
    <v>16.1127</v>
    <v>43.42</v>
    <v>43.67</v>
    <v>44.1</v>
    <v>1009536000</v>
    <v>EXC</v>
    <v>EXELON CORPORATION (XNAS:EXC)</v>
    <v>9679465</v>
    <v>6996809</v>
    <v>1999</v>
  </rv>
  <rv s="4">
    <v>625</v>
  </rv>
  <rv s="0">
    <v>https://www.bing.com/financeapi/forcetrigger?t=a25l52&amp;q=XNYS%3aVST&amp;form=skydnc</v>
    <v>Learn more on Bing</v>
  </rv>
  <rv s="5">
    <v>en-CA</v>
    <v>a25l52</v>
    <v>268435456</v>
    <v>1</v>
    <v>Powered by Refinitiv</v>
    <v>7</v>
    <v>VISTRA CORP. (XNYS:VST)</v>
    <v>8</v>
    <v>9</v>
    <v>Finance</v>
    <v>5</v>
    <v>199.84</v>
    <v>66.5</v>
    <v>1.2190000000000001</v>
    <v>3.44</v>
    <v>-1.9599999999999999E-3</v>
    <v>2.2233999999999997E-2</v>
    <v>-0.31</v>
    <v>USD</v>
    <v>Vistra Corp. is an integrated retail electricity and power generation company that provides essential resources to customers, businesses, and communities from California to Maine. It operates a reliable power generation fleet of natural gas, nuclear, coal, solar, and battery energy storage facilities while taking an innovative, customer-centric approach to its retail business. Its segments include Retail, Texas, East, West, and Asset Closure. The Retail segment is engaged in retail sales of electricity and natural gas to residential, commercial and industrial customers. The Texas and East segments are engaged in electricity generation, wholesale energy sales and purchases, commodity risk management activities, fuel procurement, and logistics management. The West segment represents results from the CAISO market, including its battery ESS projects at its Moss Landing power plant site. The Asset Closure segment is engaged in the decommissioning and reclamation of retired plants and mines.</v>
    <v>6850</v>
    <v>New York Stock Exchange</v>
    <v>XNYS</v>
    <v>XNYS</v>
    <v>6555 Sierra Drive, IRVING, TX, 75039 US</v>
    <v>159.43</v>
    <v>Electrical Utilities &amp; IPPs</v>
    <v>Stock</v>
    <v>45800.999340161718</v>
    <v>627</v>
    <v>154.65039999999999</v>
    <v>53668740000</v>
    <v>VISTRA CORP.</v>
    <v>VISTRA CORP.</v>
    <v>156.56</v>
    <v>24.372499999999999</v>
    <v>154.72</v>
    <v>158.16</v>
    <v>157.85</v>
    <v>339331900</v>
    <v>VST</v>
    <v>VISTRA CORP. (XNYS:VST)</v>
    <v>7253956</v>
    <v>6184380</v>
    <v>2016</v>
  </rv>
  <rv s="4">
    <v>628</v>
  </rv>
  <rv s="0">
    <v>https://www.bing.com/financeapi/forcetrigger?t=ay4lu2&amp;q=XNAS%3aXEL&amp;form=skydnc</v>
    <v>Learn more on Bing</v>
  </rv>
  <rv s="5">
    <v>en-CA</v>
    <v>ay4lu2</v>
    <v>268435456</v>
    <v>1</v>
    <v>Powered by Refinitiv</v>
    <v>7</v>
    <v>Xcel Energy Inc. (XNAS:XEL)</v>
    <v>8</v>
    <v>9</v>
    <v>Finance</v>
    <v>5</v>
    <v>73.375</v>
    <v>51.97</v>
    <v>0.3886</v>
    <v>0.52</v>
    <v>-1.7639000000000002E-2</v>
    <v>7.5129999999999997E-3</v>
    <v>-1.23</v>
    <v>USD</v>
    <v>Xcel Energy Inc. is an electric and natural gas delivery company. The Company provides a comprehensive portfolio of energy-related products and services to approximately 3.9 million electric customers and 2.2 million natural gas customers through four utility subsidiaries, NSP-Minnesota, NSP-Wisconsin, PSCo and SPS. The Company operates through two segments. Its regulated electric utility segment generates, purchases, transmits, distributes and sells electricity in Colorado, Michigan, Minnesota, New Mexico, North Dakota, South Dakota, Texas and Wisconsin. In addition, this segment includes sales for resale and provides wholesale transmission service to various entities in the United States. The regulated electric utility segment also includes wholesale commodity and trading operations. Its regulated natural gas utility segment purchases, transports, stores, distributes and sells natural gas primarily in portions of Colorado, Michigan, Minnesota, North Dakota and Wisconsin.</v>
    <v>11380</v>
    <v>Nasdaq Stock Market</v>
    <v>XNAS</v>
    <v>XNAS</v>
    <v>414 Nicollet Mall, MINNEAPOLIS, MN, 55401 US</v>
    <v>69.819999999999993</v>
    <v>Electrical Utilities &amp; IPPs</v>
    <v>Stock</v>
    <v>45800.964601539061</v>
    <v>630</v>
    <v>68.56</v>
    <v>40217520000</v>
    <v>Xcel Energy Inc.</v>
    <v>Xcel Energy Inc.</v>
    <v>69.430000000000007</v>
    <v>20.396000000000001</v>
    <v>69.209999999999994</v>
    <v>69.73</v>
    <v>68.5</v>
    <v>576760600</v>
    <v>XEL</v>
    <v>Xcel Energy Inc. (XNAS:XEL)</v>
    <v>3077561</v>
    <v>4497591</v>
    <v>1909</v>
  </rv>
  <rv s="4">
    <v>631</v>
  </rv>
  <rv s="0">
    <v>http://zh.wikipedia.org/wiki/太平洋瓦電公司</v>
    <v>Wikipedia</v>
  </rv>
  <rv s="1">
    <v>0</v>
    <v>633</v>
  </rv>
  <rv s="2">
    <v>6</v>
    <v>https://www.bing.com/th?id=AMMS_d7c2863336a8698ebd1054cdf3b7bcff&amp;qlt=95</v>
    <v>634</v>
    <v>0</v>
    <v>https://www.bing.com/images/search?form=xlimg&amp;q=pacific+gas+and+electric+company</v>
    <v>Image of PG&amp;E CORPORATION</v>
  </rv>
  <rv s="0">
    <v>https://www.bing.com/financeapi/forcetrigger?t=a1zkar&amp;q=XNYS%3aPCG&amp;form=skydnc</v>
    <v>Learn more on Bing</v>
  </rv>
  <rv s="3">
    <v>en-CA</v>
    <v>a1zkar</v>
    <v>268435456</v>
    <v>1</v>
    <v>Powered by Refinitiv</v>
    <v>0</v>
    <v>PG&amp;E CORPORATION (XNYS:PCG)</v>
    <v>3</v>
    <v>4</v>
    <v>Finance</v>
    <v>5</v>
    <v>21.72</v>
    <v>14.99</v>
    <v>0.60740000000000005</v>
    <v>0.03</v>
    <v>2.9090000000000001E-3</v>
    <v>1.763E-3</v>
    <v>4.9599999999999998E-2</v>
    <v>USD</v>
    <v>PG&amp;E Corporation is a holding company. The Company's primary operating subsidiary is Pacific Gas and Electric Company (the Utility), a public utility operating in Northern and Central California. The Utility is engaged in the sale and delivery of electricity and natural gas to customers. The Utility generates electricity and provides electric transmission and distribution services throughout its service area in northern and central California to residential, commercial, industrial, and agricultural customers. The Utility provides electricity, transmission, and distribution services in its service area. The Utility owns approximately 18,000 circuit miles of interconnected transmission lines operating at voltages ranging from 60 kilovolts (kV) to 500 kV. The Utility also operates 33 electric transmission substations with a capacity of approximately 67,000 megavolt amperes (MVA). Customers can also obtain electricity from alternative providers such as municipalities (CCAs).</v>
    <v>10</v>
    <v>New York Stock Exchange</v>
    <v>XNYS</v>
    <v>XNYS</v>
    <v>300 Lakeside Drive, OAKLAND, CA, 94612 US</v>
    <v>17.14</v>
    <v>635</v>
    <v>Electrical Utilities &amp; IPPs</v>
    <v>Stock</v>
    <v>45800.998093274997</v>
    <v>636</v>
    <v>16.885000000000002</v>
    <v>37470510000</v>
    <v>PG&amp;E CORPORATION</v>
    <v>PG&amp;E CORPORATION</v>
    <v>17.13</v>
    <v>15.662000000000001</v>
    <v>17.02</v>
    <v>17.05</v>
    <v>17.099599999999999</v>
    <v>2197684000</v>
    <v>PCG</v>
    <v>PG&amp;E CORPORATION (XNYS:PCG)</v>
    <v>14757619</v>
    <v>13496970</v>
    <v>1995</v>
  </rv>
  <rv s="4">
    <v>637</v>
  </rv>
  <rv s="0">
    <v>https://www.bing.com/financeapi/forcetrigger?t=a1rmkr&amp;q=XNYS%3aED&amp;form=skydnc</v>
    <v>Learn more on Bing</v>
  </rv>
  <rv s="5">
    <v>en-CA</v>
    <v>a1rmkr</v>
    <v>268435456</v>
    <v>1</v>
    <v>Powered by Refinitiv</v>
    <v>7</v>
    <v>CONSOLIDATED EDISON, INC. (XNYS:ED)</v>
    <v>8</v>
    <v>9</v>
    <v>Finance</v>
    <v>5</v>
    <v>114.87</v>
    <v>87.28</v>
    <v>0.27089999999999997</v>
    <v>0.68</v>
    <v>0</v>
    <v>6.5750000000000001E-3</v>
    <v>0</v>
    <v>USD</v>
    <v>Consolidated Edison, Inc. is an energy-delivery company. The Company, through its subsidiaries, Consolidated Edison Company of New York, Inc. (CECONY), Orange and Rockland Utilities, Inc. (O&amp;R) and Con Edison Transmission, Inc., provides a range of energy-related products and services to its customers. CECONY is a regulated utility providing electric service in New York City and New York’s Westchester County, gas service in Manhattan, the Bronx, parts of Queens and parts of Westchester, and steam service in Manhattan. O&amp;R and its utility subsidiary, Rockland Electric Company, provide electric service to customers in southeastern New York and northern New Jersey, a 1,300 square mile service area. O&amp;R delivers gas to customers in southeastern New York. Con Edison Transmission, Inc. falls primarily under the oversight of the Federal Energy Regulatory Commission and manages, through joint ventures, both electric and gas assets while seeking to develop electric transmission projects.</v>
    <v>15097</v>
    <v>New York Stock Exchange</v>
    <v>XNYS</v>
    <v>XNYS</v>
    <v>4 Irving Place, NEW YORK, NY, 10003 US</v>
    <v>104.68</v>
    <v>Electrical Utilities &amp; IPPs</v>
    <v>Stock</v>
    <v>45800.979853946097</v>
    <v>639</v>
    <v>102.45</v>
    <v>37506830000</v>
    <v>CONSOLIDATED EDISON, INC.</v>
    <v>CONSOLIDATED EDISON, INC.</v>
    <v>104.38</v>
    <v>19.0899</v>
    <v>103.42</v>
    <v>104.1</v>
    <v>104.1</v>
    <v>360296100</v>
    <v>ED</v>
    <v>CONSOLIDATED EDISON, INC. (XNYS:ED)</v>
    <v>2116235</v>
    <v>2890175</v>
    <v>1997</v>
  </rv>
  <rv s="4">
    <v>640</v>
  </rv>
  <rv s="0">
    <v>https://www.bing.com/financeapi/forcetrigger?t=a1saoc&amp;q=XNYS%3aETR&amp;form=skydnc</v>
    <v>Learn more on Bing</v>
  </rv>
  <rv s="5">
    <v>en-CA</v>
    <v>a1saoc</v>
    <v>268435456</v>
    <v>1</v>
    <v>Powered by Refinitiv</v>
    <v>7</v>
    <v>ENTERGY CORPORATION (XNYS:ETR)</v>
    <v>8</v>
    <v>9</v>
    <v>Finance</v>
    <v>5</v>
    <v>88.384600000000006</v>
    <v>52.064999999999998</v>
    <v>0.58620000000000005</v>
    <v>1.54</v>
    <v>1.0022E-2</v>
    <v>1.8947000000000002E-2</v>
    <v>0.83</v>
    <v>USD</v>
    <v>Entergy Corporation is an integrated energy company engaged primarily in electric power production and retail distribution operations. The Company operates primarily through a single segment, Utility. The Utility segment includes the generation, transmission, distribution, and sale of electric power in portions of Arkansas, Mississippi, Texas, and Louisiana, including the City of New Orleans. The Utility segment includes five retail electric utility subsidiaries: Entergy Arkansas, LLC, Entergy Louisiana, LLC, Entergy Mississippi, LLC, Entergy New Orleans, LLC, and Entergy Texas, Inc. These companies generate, transmit, distribute, and sell electric power to retail and wholesale customers in Arkansas, Louisiana, Mississippi, and Texas. The Company owns and operates power plants with approximately 25,000 MW of electric generating capacity. It delivers electricity to approximately three million utility customers in Arkansas, Louisiana, Mississippi, and Texas.</v>
    <v>12267</v>
    <v>New York Stock Exchange</v>
    <v>XNYS</v>
    <v>XNYS</v>
    <v>639 Loyola Ave, NEW ORLEANS, LA, 70113 US</v>
    <v>82.905000000000001</v>
    <v>Electrical Utilities &amp; IPPs</v>
    <v>Stock</v>
    <v>45800.960581700783</v>
    <v>642</v>
    <v>80.98</v>
    <v>36965430000</v>
    <v>ENTERGY CORPORATION</v>
    <v>ENTERGY CORPORATION</v>
    <v>82.04</v>
    <v>26.361699999999999</v>
    <v>81.28</v>
    <v>82.82</v>
    <v>83.65</v>
    <v>446334600</v>
    <v>ETR</v>
    <v>ENTERGY CORPORATION (XNYS:ETR)</v>
    <v>1945206</v>
    <v>3383027</v>
    <v>1992</v>
  </rv>
  <rv s="4">
    <v>643</v>
  </rv>
  <rv s="0">
    <v>https://www.bing.com/financeapi/forcetrigger?t=a25sk2&amp;q=XNYS%3aWEC&amp;form=skydnc</v>
    <v>Learn more on Bing</v>
  </rv>
  <rv s="5">
    <v>en-CA</v>
    <v>a25sk2</v>
    <v>268435456</v>
    <v>1</v>
    <v>Powered by Refinitiv</v>
    <v>7</v>
    <v>WEC ENERGY GROUP, INC. (XNYS:WEC)</v>
    <v>8</v>
    <v>9</v>
    <v>Finance</v>
    <v>5</v>
    <v>111</v>
    <v>77.47</v>
    <v>0.44390000000000002</v>
    <v>1.29</v>
    <v>0</v>
    <v>1.2229E-2</v>
    <v>0</v>
    <v>USD</v>
    <v>WEC Energy Group, Inc. is a diversified holding company. The Company, through its wholly owned subsidiaries, provides or invests in regulated natural gas and electricity, and renewable energy, as well as non-regulated renewable energy. Its segments include Wisconsin, Illinois, Other states, electric transmission, non-utility energy and infrastructure, and corporate and other segment. The Wisconsin segment is engaged in the generation of electricity and the distribution of electricity and natural gas in Wisconsin and distributes natural gas to customers located in the Upper Peninsula of Michigan. The Illinois segment is engaged in the distribution of natural gas in Illinois. Other states segment engaged primarily in the distribution of natural gas in Minnesota and Michigan. The non-utility energy infrastructure segment consists of We Power, which owns electric power-generating facilities, and Bluewater, which owns underground natural gas storage facilities in Michigan.</v>
    <v>7000</v>
    <v>New York Stock Exchange</v>
    <v>XNYS</v>
    <v>XNYS</v>
    <v>PO Box 1331, 231 W Michigan St, MILWAUKEE, WI, 53201-1331 US</v>
    <v>106.94</v>
    <v>Electrical Utilities &amp; IPPs</v>
    <v>Stock</v>
    <v>45800.958333333336</v>
    <v>645</v>
    <v>104.9</v>
    <v>34077070000</v>
    <v>WEC ENERGY GROUP, INC.</v>
    <v>WEC ENERGY GROUP, INC.</v>
    <v>106.34</v>
    <v>20.5884</v>
    <v>105.49</v>
    <v>106.78</v>
    <v>106.78</v>
    <v>319133500</v>
    <v>WEC</v>
    <v>WEC ENERGY GROUP, INC. (XNYS:WEC)</v>
    <v>1838006</v>
    <v>2048814</v>
    <v>1981</v>
  </rv>
  <rv s="4">
    <v>646</v>
  </rv>
  <rv s="0">
    <v>https://www.bing.com/financeapi/forcetrigger?t=a1rcp2&amp;q=XNYS%3aDTE&amp;form=skydnc</v>
    <v>Learn more on Bing</v>
  </rv>
  <rv s="5">
    <v>en-CA</v>
    <v>a1rcp2</v>
    <v>268435456</v>
    <v>1</v>
    <v>Powered by Refinitiv</v>
    <v>7</v>
    <v>DTE ENERGY COMPANY (XNYS:DTE)</v>
    <v>8</v>
    <v>9</v>
    <v>Finance</v>
    <v>5</v>
    <v>140.38999999999999</v>
    <v>108.4</v>
    <v>0.47249999999999998</v>
    <v>1.7</v>
    <v>1.614E-3</v>
    <v>1.2627999999999999E-2</v>
    <v>0.22</v>
    <v>USD</v>
    <v>DTE Energy Company is a diversified energy company, which is involved in the development and management of energy-related businesses and services nationwide. The Company’s segments include Electric, Gas, DTE Vantage, Energy Trading, and Corporate and Other. Electric segment consists principally of DTE Electric, which is engaged in the generation, purchase, distribution, and sale of electricity to residential, commercial, and industrial customers in southeastern Michigan. Gas segment consists principally of DTE Gas, which is engaged in the purchase, storage, transportation, distribution, and sale of natural gas to residential, commercial, and industrial customers throughout Michigan. DTE Vantage segment is comprised primarily of renewable energy projects that sell electricity and pipeline-gas and projects that deliver custom energy solutions to industrial, commercial, and institutional customers. Energy Trading segment consists of energy marketing and trading operations.</v>
    <v>9500</v>
    <v>New York Stock Exchange</v>
    <v>XNYS</v>
    <v>XNYS</v>
    <v>One Energy Plaza, DETROIT, MI, 48226 US</v>
    <v>136.69</v>
    <v>Electrical Utilities &amp; IPPs</v>
    <v>Stock</v>
    <v>45800.965675392967</v>
    <v>648</v>
    <v>134.03</v>
    <v>28288540000</v>
    <v>DTE ENERGY COMPANY</v>
    <v>DTE ENERGY COMPANY</v>
    <v>135.80000000000001</v>
    <v>18.177600000000002</v>
    <v>134.62</v>
    <v>136.32</v>
    <v>136.54</v>
    <v>207515700</v>
    <v>DTE</v>
    <v>DTE ENERGY COMPANY (XNYS:DTE)</v>
    <v>1069038</v>
    <v>1625610</v>
    <v>1995</v>
  </rv>
  <rv s="4">
    <v>649</v>
  </rv>
  <rv s="0">
    <v>https://www.bing.com/financeapi/forcetrigger?t=a1s6ww&amp;q=XNYS%3aES&amp;form=skydnc</v>
    <v>Learn more on Bing</v>
  </rv>
  <rv s="5">
    <v>en-CA</v>
    <v>a1s6ww</v>
    <v>268435456</v>
    <v>1</v>
    <v>Powered by Refinitiv</v>
    <v>7</v>
    <v>Eversource Energy (XNYS:ES)</v>
    <v>8</v>
    <v>9</v>
    <v>Finance</v>
    <v>5</v>
    <v>69.010000000000005</v>
    <v>52.28</v>
    <v>0.63549999999999995</v>
    <v>0.4</v>
    <v>0</v>
    <v>6.3429999999999997E-3</v>
    <v>0</v>
    <v>USD</v>
    <v>Eversource Energy is a utility holding company, which is engaged in the energy delivery business through its utility subsidiaries. Its segments include Electric Distribution, Electric Transmission, Natural Gas Distribution and Water Distribution. The Electric Distribution segment is engaged in the distribution of electricity to retail customers in Connecticut, Massachusetts and New Hampshire, respectively, and the solar power facilities of NSTAR Electric Company. The Electric Transmission segment owns and maintains transmission facilities that are part of an interstate power transmission grid over which electricity is transmitted throughout New England. The Natural Gas Distribution distributes natural gas to his customers in central and eastern Massachusetts. The Water Distribution segment provides water services to over 248,000 residential, commercial, industrial, municipal and fire protection and other customers, in 73 towns and cities in Connecticut, Massachusetts and New Hampshire.</v>
    <v>10680</v>
    <v>New York Stock Exchange</v>
    <v>XNYS</v>
    <v>XNYS</v>
    <v>300 Cadwell Dr, SPRINGFIELD, MA, 01104-1742 US</v>
    <v>63.49</v>
    <v>Electrical Utilities &amp; IPPs</v>
    <v>Stock</v>
    <v>45800.982682846872</v>
    <v>651</v>
    <v>62.22</v>
    <v>23314240000</v>
    <v>Eversource Energy</v>
    <v>Eversource Energy</v>
    <v>63.34</v>
    <v>27.225999999999999</v>
    <v>63.06</v>
    <v>63.46</v>
    <v>63.46</v>
    <v>367384800</v>
    <v>ES</v>
    <v>Eversource Energy (XNYS:ES)</v>
    <v>1587253</v>
    <v>3034347</v>
    <v>1927</v>
  </rv>
  <rv s="4">
    <v>652</v>
  </rv>
  <rv s="0">
    <v>https://www.bing.com/financeapi/forcetrigger?t=a1ru6h&amp;q=XNYS%3aEIX&amp;form=skydnc</v>
    <v>Learn more on Bing</v>
  </rv>
  <rv s="5">
    <v>en-CA</v>
    <v>a1ru6h</v>
    <v>268435456</v>
    <v>1</v>
    <v>Powered by Refinitiv</v>
    <v>7</v>
    <v>EDISON INTERNATIONAL (XNYS:EIX)</v>
    <v>8</v>
    <v>9</v>
    <v>Finance</v>
    <v>5</v>
    <v>88.77</v>
    <v>49.06</v>
    <v>0.7883</v>
    <v>0.42</v>
    <v>-1.3368999999999999E-2</v>
    <v>7.4710000000000002E-3</v>
    <v>-0.75719999999999998</v>
    <v>USD</v>
    <v>Edison International is an electric utility holding company. The Company is focused on providing clean and reliable energy and energy services through its independent companies. It is the parent holding company of Southern California Edison Company (SCE) and Trio. SCE is a public utility primarily engaged in the business of supplying and delivering electricity to an approximately 50,000 square mile area across Southern, Central and Coastal California. Trio is a global energy advisory firm providing integrated sustainability and energy advisory services to large commercial, industrial and institutional organizations in North America and Europe. Trio provides integrated strategy and implementation solutions in sustainability, renewables, energy procurement, conventional supply, energy optimization and transportation electrification.</v>
    <v>13483</v>
    <v>New York Stock Exchange</v>
    <v>XNYS</v>
    <v>XNYS</v>
    <v>2244 Walnut Grove Ave, P O Box 800, ROSEMEAD, CA, 91770 US</v>
    <v>56.81</v>
    <v>Electrical Utilities &amp; IPPs</v>
    <v>Stock</v>
    <v>45800.984325358593</v>
    <v>654</v>
    <v>55.56</v>
    <v>21793010000</v>
    <v>EDISON INTERNATIONAL</v>
    <v>EDISON INTERNATIONAL</v>
    <v>56.37</v>
    <v>7.9706000000000001</v>
    <v>56.22</v>
    <v>56.64</v>
    <v>55.882800000000003</v>
    <v>384763700</v>
    <v>EIX</v>
    <v>EDISON INTERNATIONAL (XNYS:EIX)</v>
    <v>1568282</v>
    <v>2869370</v>
    <v>1987</v>
  </rv>
  <rv s="4">
    <v>655</v>
  </rv>
  <rv s="0">
    <v>https://www.bing.com/financeapi/forcetrigger?t=a1squ2&amp;q=XNYS%3aFE&amp;form=skydnc</v>
    <v>Learn more on Bing</v>
  </rv>
  <rv s="5">
    <v>en-CA</v>
    <v>a1squ2</v>
    <v>268435456</v>
    <v>1</v>
    <v>Powered by Refinitiv</v>
    <v>7</v>
    <v>FIRSTENERGY CORP. (XNYS:FE)</v>
    <v>8</v>
    <v>9</v>
    <v>Finance</v>
    <v>5</v>
    <v>44.97</v>
    <v>37.58</v>
    <v>0.3871</v>
    <v>0.12</v>
    <v>2.3749999999999999E-3</v>
    <v>2.8579999999999999E-3</v>
    <v>0.1</v>
    <v>USD</v>
    <v>FirstEnergy Corp. and its subsidiaries are involved in the transmission, distribution, and generation of electricity. Its segments include Distribution, Integrated and Stand-Alone Transmission. The Distribution Segment, which consists of the Ohio Companies and FirstEnergy Pennsylvania Electric Company (FE PA), distributes electricity in Ohio and Pennsylvania. The Integrated segment includes the distribution and transmission operations under Jersey Central Power &amp; Light Company (JCP&amp;L), Monongahela Power Company (MP) and The Potomac Edison Company (PE), as well as MP's regulated generation operations. The segment distributes electricity in New Jersey, West Virginia and Maryland, provides transmission infrastructure, and operates 3,604 MWs of regulated net maximum generation capacity. The Stand-Alone Transmission segment consists of its ownership in FET and KATCo, which includes transmission infrastructure owned and operated by the Transmission Companies and used to transmit electricity.</v>
    <v>12294</v>
    <v>New York Stock Exchange</v>
    <v>XNYS</v>
    <v>XNYS</v>
    <v>341 White Pond Drive, AKRON, OH, 44320 US</v>
    <v>42.44</v>
    <v>Electrical Utilities &amp; IPPs</v>
    <v>Stock</v>
    <v>45800.958333356248</v>
    <v>657</v>
    <v>41.51</v>
    <v>24304050000</v>
    <v>FIRSTENERGY CORP.</v>
    <v>FIRSTENERGY CORP.</v>
    <v>42.44</v>
    <v>22.3691</v>
    <v>41.99</v>
    <v>42.11</v>
    <v>42.21</v>
    <v>577156300</v>
    <v>FE</v>
    <v>FIRSTENERGY CORP. (XNYS:FE)</v>
    <v>4250831</v>
    <v>4852754</v>
    <v>1996</v>
  </rv>
  <rv s="4">
    <v>658</v>
  </rv>
  <rv s="0">
    <v>https://www.bing.com/financeapi/forcetrigger?t=a1ypc7&amp;q=XNYS%3aNRG&amp;form=skydnc</v>
    <v>Learn more on Bing</v>
  </rv>
  <rv s="5">
    <v>en-CA</v>
    <v>a1ypc7</v>
    <v>268435456</v>
    <v>1</v>
    <v>Powered by Refinitiv</v>
    <v>7</v>
    <v>NRG ENERGY, INC. (XNYS:NRG)</v>
    <v>8</v>
    <v>9</v>
    <v>Finance</v>
    <v>5</v>
    <v>161.78</v>
    <v>65.111000000000004</v>
    <v>1.0880000000000001</v>
    <v>2.5299999999999998</v>
    <v>-5.1959999999999992E-3</v>
    <v>1.6292000000000001E-2</v>
    <v>-0.82</v>
    <v>USD</v>
    <v>NRG Energy, Inc. is an energy and home services company. The Company’s businesses are the sale of electricity and natural gas to residential, commercial, and industrial and wholesale customers, supported by its wholesale electric generation, as well as the sale of smart home products and services. Across the United States and Canada, the Company delivers sustainable solutions, predominately under brand names such as NRG, Reliant, Direct Energy, Green Mountain Energy, and Vivint. Its segments include Texas, East, West/Services/Other, Vivint Smart Home and Corporate activities. It sells a variety of products to residential and small commercial customers, including retail electricity and energy management, natural gas, line and surge protection products and home protection products, repair and maintenance, and carbon offsets. It owns and leases a diversified wholesale generation portfolio with approximately 13 gigawatts of fossil fuel and renewable generation capacity at 18 plants.</v>
    <v>15637</v>
    <v>New York Stock Exchange</v>
    <v>XNYS</v>
    <v>XNYS</v>
    <v>910 Louisiana Street, HOUSTON, TX, 77002 US</v>
    <v>158.55500000000001</v>
    <v>Electrical Utilities &amp; IPPs</v>
    <v>Stock</v>
    <v>45800.98344984922</v>
    <v>660</v>
    <v>153.28</v>
    <v>30855460000</v>
    <v>NRG ENERGY, INC.</v>
    <v>NRG ENERGY, INC.</v>
    <v>153.72</v>
    <v>25.080300000000001</v>
    <v>155.29</v>
    <v>157.82</v>
    <v>157</v>
    <v>195510400</v>
    <v>NRG</v>
    <v>NRG ENERGY, INC. (XNYS:NRG)</v>
    <v>2290802</v>
    <v>3418781</v>
    <v>1992</v>
  </rv>
  <rv s="4">
    <v>661</v>
  </rv>
  <rv s="0">
    <v>https://www.bing.com/financeapi/forcetrigger?t=a1x1mw&amp;q=XNAS%3aLNT&amp;form=skydnc</v>
    <v>Learn more on Bing</v>
  </rv>
  <rv s="5">
    <v>en-CA</v>
    <v>a1x1mw</v>
    <v>268435456</v>
    <v>1</v>
    <v>Powered by Refinitiv</v>
    <v>7</v>
    <v>ALLIANT ENERGY CORPORATION (XNAS:LNT)</v>
    <v>8</v>
    <v>9</v>
    <v>Finance</v>
    <v>5</v>
    <v>66.540000000000006</v>
    <v>49.045000000000002</v>
    <v>0.5766</v>
    <v>0.51</v>
    <v>-8.1010000000000001E-4</v>
    <v>8.3320000000000009E-3</v>
    <v>-0.05</v>
    <v>USD</v>
    <v>Alliant Energy Corporation operates as a regulated investor-owned public utility holding company. Its primary focus is to provide regulated electric and natural gas service to its customers in the Midwest through its two public utility subsidiaries: Interstate Power and Light Company (IPL) and Wisconsin Power and Light Company (WPL). Its non-utility holdings are organized under Alliant Energy Finance, LLC. Its segments include IPL and WPL. IPL is a public utility engaged principally in the generation and distribution of electricity and the distribution and transportation of natural gas to retail customers in select markets in Iowa. WPL is a public utility engaged principally in the generation and distribution of electricity and the distribution and transportation of natural gas to retail customers in select markets in Wisconsin. WPL operates in municipalities pursuant to permits of indefinite duration and state statutes authorizing utility operation in areas annexed by a municipality.</v>
    <v>2998</v>
    <v>Nasdaq Stock Market</v>
    <v>XNAS</v>
    <v>XNAS</v>
    <v>4902 North Biltmore Lane, Suite 1000, MADISON, WI, 53718-2148 US</v>
    <v>61.79</v>
    <v>Electrical Utilities &amp; IPPs</v>
    <v>Stock</v>
    <v>45800.915805878903</v>
    <v>663</v>
    <v>60.71</v>
    <v>15854410000</v>
    <v>ALLIANT ENERGY CORPORATION</v>
    <v>ALLIANT ENERGY CORPORATION</v>
    <v>61.61</v>
    <v>21.115600000000001</v>
    <v>61.21</v>
    <v>61.72</v>
    <v>61.67</v>
    <v>256876300</v>
    <v>LNT</v>
    <v>ALLIANT ENERGY CORPORATION (XNAS:LNT)</v>
    <v>1161412</v>
    <v>2419782</v>
    <v>1981</v>
  </rv>
  <rv s="4">
    <v>664</v>
  </rv>
  <rv s="0">
    <v>https://www.bing.com/financeapi/forcetrigger?t=b17tur&amp;q=XNYS%3aEVRG&amp;form=skydnc</v>
    <v>Learn more on Bing</v>
  </rv>
  <rv s="5">
    <v>en-CA</v>
    <v>b17tur</v>
    <v>268435456</v>
    <v>1</v>
    <v>Powered by Refinitiv</v>
    <v>7</v>
    <v>Evergy, Inc. (XNAS:EVRG)</v>
    <v>8</v>
    <v>9</v>
    <v>Finance</v>
    <v>5</v>
    <v>70.36</v>
    <v>52.1</v>
    <v>0.47960000000000003</v>
    <v>0.54700000000000004</v>
    <v>2.8879999999999999E-3</v>
    <v>8.3829999999999998E-3</v>
    <v>0.19</v>
    <v>USD</v>
    <v>Evergy, Inc. is a utility holding company. The Company operates primarily through its wholly owned subsidiaries,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owns 13.5% of Transource Energy, LLC (Transource) with the remaining 86.5% owned by AEP Transmission Holding Company, LLC. Transource is focused on the development of competitive electric transmission projects.</v>
    <v>4731</v>
    <v>Nasdaq Stock Market</v>
    <v>XNAS</v>
    <v>XNAS</v>
    <v>1200 Main St, KANSAS CITY, MO, 64105-2122 US</v>
    <v>65.86</v>
    <v>Electrical Utilities &amp; IPPs</v>
    <v>Stock</v>
    <v>45800.978308217185</v>
    <v>666</v>
    <v>64.75</v>
    <v>15139970000</v>
    <v>Evergy, Inc.</v>
    <v>Evergy, Inc.</v>
    <v>65.709999999999994</v>
    <v>17.197199999999999</v>
    <v>65.253</v>
    <v>65.8</v>
    <v>65.989999999999995</v>
    <v>230090700</v>
    <v>EVRG</v>
    <v>Evergy, Inc. (XNAS:EVRG)</v>
    <v>1502959</v>
    <v>2284365</v>
    <v>2017</v>
  </rv>
  <rv s="4">
    <v>667</v>
  </rv>
  <rv s="0">
    <v>https://www.bing.com/financeapi/forcetrigger?t=a2139c&amp;q=XNYS%3aPNW&amp;form=skydnc</v>
    <v>Learn more on Bing</v>
  </rv>
  <rv s="5">
    <v>en-CA</v>
    <v>a2139c</v>
    <v>268435456</v>
    <v>1</v>
    <v>Powered by Refinitiv</v>
    <v>7</v>
    <v>PINNACLE WEST CAPITAL CORPORATION (XNYS:PNW)</v>
    <v>8</v>
    <v>9</v>
    <v>Finance</v>
    <v>5</v>
    <v>96.5</v>
    <v>74.45</v>
    <v>0.4385</v>
    <v>0.86</v>
    <v>1.8953000000000001E-2</v>
    <v>9.5669999999999991E-3</v>
    <v>1.72</v>
    <v>USD</v>
    <v>Pinnacle West Capital Corporation is an energy holding company that conducts business through its subsidiaries, Arizona Public Service Company (APS), El Dorado Investment Company (El Dorado) and Pinnacle West Power, LLC. The Company's business segment is its regulated electricity segment, which consists of traditional regulated retail and wholesale electricity businesses (primarily electric service to Native Load customers) and related activities, and includes electricity generation, transmission, and distribution. APS provides electric service to approximately 1.4 million customers. APS is also the operator and co-owner of Palo Verde, a primary source of electricity for the southwest United States and the nuclear power plant in the United States. El Dorado owns debt investments and minority interests in several energy-related investments and Arizona community-based ventures. Palo Verde is a three-unit nuclear power plant located approximately 50 miles west of Phoenix, Arizona.</v>
    <v>88</v>
    <v>New York Stock Exchange</v>
    <v>XNYS</v>
    <v>XNYS</v>
    <v>400 North 5th Street, PHOENIX, AZ, 85004 US</v>
    <v>90.82</v>
    <v>Electrical Utilities &amp; IPPs</v>
    <v>Stock</v>
    <v>45800.958333344533</v>
    <v>669</v>
    <v>89.375</v>
    <v>10835460000</v>
    <v>PINNACLE WEST CAPITAL CORPORATION</v>
    <v>PINNACLE WEST CAPITAL CORPORATION</v>
    <v>90.58</v>
    <v>17.857500000000002</v>
    <v>89.89</v>
    <v>90.75</v>
    <v>92.47</v>
    <v>119399000</v>
    <v>PNW</v>
    <v>PINNACLE WEST CAPITAL CORPORATION (XNYS:PNW)</v>
    <v>545931</v>
    <v>1300462</v>
    <v>1985</v>
  </rv>
  <rv s="4">
    <v>670</v>
  </rv>
  <rv s="0">
    <v>https://www.bing.com/financeapi/forcetrigger?t=a1myk2&amp;q=XNYS%3aAES&amp;form=skydnc</v>
    <v>Learn more on Bing</v>
  </rv>
  <rv s="5">
    <v>en-CA</v>
    <v>a1myk2</v>
    <v>268435456</v>
    <v>1</v>
    <v>Powered by Refinitiv</v>
    <v>7</v>
    <v>THE AES CORPORATION (XNYS:AES)</v>
    <v>8</v>
    <v>9</v>
    <v>Finance</v>
    <v>5</v>
    <v>22.21</v>
    <v>9.4600000000000009</v>
    <v>0.95489999999999997</v>
    <v>0.36</v>
    <v>4.0039999999999997E-3</v>
    <v>3.7383E-2</v>
    <v>0.04</v>
    <v>USD</v>
    <v>The AES Corporation is an energy company. The Company operates in four segments: Renewables, Utilities, Energy Infrastructure, and New Energy Technologies. The Renewables segment include solar, wind, energy storage, and hydro generation facilities. The Utilities segment includes AES Indiana, AES Ohio, and AES El Salvador regulated utilities and their generation facilities. The Energy Infrastructure segment includes natural gas, liquefied natural gas (LNG), coal, pet coke, diesel, and oil generation facilities, and its businesses in Chile, which have a mix of generation sources, including renewables. The New Energy Technologies segment includes investments in Fluence, Uplight, Maximo and other initiatives. It has two lines of business: Generation, which owns and/or operates power plants to generate and sell power to customers and Utilities that own and/or operate utilities to generate or purchase, distribute, transmit and sell electricity to end-user customers.</v>
    <v>9100</v>
    <v>New York Stock Exchange</v>
    <v>XNYS</v>
    <v>XNYS</v>
    <v>4300 Wilson Blvd, ARLINGTON, VA, 22203 US</v>
    <v>10.07</v>
    <v>Electrical Utilities &amp; IPPs</v>
    <v>Stock</v>
    <v>45800.999393957813</v>
    <v>672</v>
    <v>9.5299999999999994</v>
    <v>7111961000</v>
    <v>THE AES CORPORATION</v>
    <v>THE AES CORPORATION</v>
    <v>9.5399999999999991</v>
    <v>5.2840999999999996</v>
    <v>9.6300000000000008</v>
    <v>9.99</v>
    <v>10.029999999999999</v>
    <v>711908100</v>
    <v>AES</v>
    <v>THE AES CORPORATION (XNYS:AES)</v>
    <v>22740524</v>
    <v>18058437</v>
    <v>1981</v>
  </rv>
  <rv s="4">
    <v>673</v>
  </rv>
  <rv s="0">
    <v>https://www.bing.com/financeapi/forcetrigger?t=a1nllh&amp;q=XNYS%3aAPH&amp;form=skydnc</v>
    <v>Learn more on Bing</v>
  </rv>
  <rv s="5">
    <v>en-CA</v>
    <v>a1nllh</v>
    <v>268435456</v>
    <v>1</v>
    <v>Powered by Refinitiv</v>
    <v>7</v>
    <v>AMPHENOL CORPORATION (XNYS:APH)</v>
    <v>8</v>
    <v>9</v>
    <v>Finance</v>
    <v>5</v>
    <v>87.22</v>
    <v>54.77</v>
    <v>1.1067</v>
    <v>0.28999999999999998</v>
    <v>1.052E-2</v>
    <v>3.4009999999999999E-3</v>
    <v>0.9</v>
    <v>USD</v>
    <v>Amphenol Corporation is a designer, manufacturer, and marketer of electrical, electronic and fiber optic connectors and interconnect systems, antennas, sensors and sensor-based products and coaxial and high-speed specialty cables. The Company operates through three segments. The Harsh Environment Solutions segment designs, manufactures and markets a range of ruggedized interconnect products and other products for use in the industrial, defense, commercial aerospace, automotive, mobile networks, medical and other markets. Communications Solutions segment designs, manufactures and markets a range of connector and interconnect systems for use in the information technology and data communications, mobile devices, industrial, mobile networks, broadband communications, automotive, commercial aerospace and defense end markets. Its Interconnect and Sensor Systems segment designs, manufactures and markets a range of sensors, sensor-based systems, connectors and value-add interconnect systems.</v>
    <v>125000</v>
    <v>New York Stock Exchange</v>
    <v>XNYS</v>
    <v>XNYS</v>
    <v>358 HALL AVE, WALLINGFORD, CT, 06492 US</v>
    <v>86</v>
    <v>Electronic Equipment &amp; Parts</v>
    <v>Stock</v>
    <v>45800.997272719535</v>
    <v>675</v>
    <v>83.44</v>
    <v>103481200000</v>
    <v>AMPHENOL CORPORATION</v>
    <v>AMPHENOL CORPORATION</v>
    <v>83.87</v>
    <v>41.3157</v>
    <v>85.26</v>
    <v>85.55</v>
    <v>86.45</v>
    <v>1209599000</v>
    <v>APH</v>
    <v>AMPHENOL CORPORATION (XNYS:APH)</v>
    <v>4476121</v>
    <v>8046189</v>
    <v>1986</v>
  </rv>
  <rv s="4">
    <v>676</v>
  </rv>
  <rv s="0">
    <v>http://fr.wikipedia.org/wiki/TE_Connectivity</v>
    <v>Wikipedia</v>
  </rv>
  <rv s="1">
    <v>0</v>
    <v>678</v>
  </rv>
  <rv s="2">
    <v>6</v>
    <v>https://www.bing.com/th?id=AMMS_e83e68f97f5001b753ff93f8a5154da3&amp;qlt=95</v>
    <v>679</v>
    <v>0</v>
    <v>https://www.bing.com/images/search?form=xlimg&amp;q=te+connectivity</v>
    <v>Image of TE CONNECTIVITY PUBLIC LIMITED COMPANY</v>
  </rv>
  <rv s="0">
    <v>https://www.bing.com/financeapi/forcetrigger?t=a244dm&amp;q=XNYS%3aTEL&amp;form=skydnc</v>
    <v>Learn more on Bing</v>
  </rv>
  <rv s="3">
    <v>en-CA</v>
    <v>a244dm</v>
    <v>268435456</v>
    <v>1</v>
    <v>Powered by Refinitiv</v>
    <v>0</v>
    <v>TE CONNECTIVITY PUBLIC LIMITED COMPANY (XNYS:TEL)</v>
    <v>3</v>
    <v>4</v>
    <v>Finance</v>
    <v>5</v>
    <v>164.11</v>
    <v>116.3018</v>
    <v>1.2202</v>
    <v>-1.35</v>
    <v>-4.5700000000000003E-3</v>
    <v>-8.4950000000000008E-3</v>
    <v>-0.72</v>
    <v>USD</v>
    <v>TE Connectivity plc is a global industrial technology company. The Company’s range of connectivity and sensor solutions enable the distribution of power, signal, and data to advance next generation transportation, renewable energy, automated factories, data centers, medical technology, and more. The Company operates through two segments: Transportation Solutions and Industrial Solutions. Transportation Solutions segment includes its automotive, commercial transportation, and sensor businesses. The Industrial Solutions segment includes its aerospace, defense, and marine; medical; energy; digital data networks, and automation and connected living businesses. Its services and training include 3D Printing For Production (3D4P), Backshells Prototyping - BIT Workx, Electrical Installation Trainings, HarnWare Software, Machine Tooling Service &amp; Repair, Medical Device Design Services, Microfluidic Devices and THE ACADEMY - Automotive Webinars.</v>
    <v>87000</v>
    <v>New York Stock Exchange</v>
    <v>XNYS</v>
    <v>XNYS</v>
    <v>Parkmore Business Park West, Parkmore, Ballybrit, Galway, H91VN2T IE</v>
    <v>158.4</v>
    <v>680</v>
    <v>Electronic Equipment &amp; Parts</v>
    <v>Stock</v>
    <v>45800.958333356248</v>
    <v>681</v>
    <v>155.37</v>
    <v>46723870000</v>
    <v>TE CONNECTIVITY PUBLIC LIMITED COMPANY</v>
    <v>TE CONNECTIVITY PUBLIC LIMITED COMPANY</v>
    <v>155.37</v>
    <v>34.85</v>
    <v>158.91</v>
    <v>157.56</v>
    <v>156.84</v>
    <v>296546500</v>
    <v>TEL</v>
    <v>TE CONNECTIVITY PUBLIC LIMITED COMPANY (XNYS:TEL)</v>
    <v>1298975</v>
    <v>1858300</v>
    <v>2015</v>
  </rv>
  <rv s="4">
    <v>682</v>
  </rv>
  <rv s="0">
    <v>https://www.bing.com/financeapi/forcetrigger?t=a1tym7&amp;q=XNYS%3aGLW&amp;form=skydnc</v>
    <v>Learn more on Bing</v>
  </rv>
  <rv s="5">
    <v>en-CA</v>
    <v>a1tym7</v>
    <v>268435456</v>
    <v>1</v>
    <v>Powered by Refinitiv</v>
    <v>7</v>
    <v>CORNING INCORPORATED (XNYS:GLW)</v>
    <v>8</v>
    <v>9</v>
    <v>Finance</v>
    <v>5</v>
    <v>55.33</v>
    <v>35.401000000000003</v>
    <v>1.0924</v>
    <v>-0.19</v>
    <v>-1.034E-3</v>
    <v>-3.9129999999999998E-3</v>
    <v>-0.05</v>
    <v>USD</v>
    <v>Corning Incorporated operates as an innovator in materials science. Its segments include Optical Communications, Display Technologies, Specialty Materials, Environmental Technologies, and Life Sciences. Its Optical Communications segment manufactures carrier network and enterprise network components for the telecommunications industry. Its Display Technologies segment manufactures glass substrates for flat-panel displays, including liquid crystal displays and organic light-emitting diodes. Its Specialty Materials segment manufactures products that provide material formulations for glass, glass ceramics and fluoride crystals for customer needs. Its Environmental Technologies segment manufactures ceramic substrates and filters for emission control systems in mobile applications. Its Life Sciences segment develops, manufactures and supplies laboratory products, including labware, equipment, media, serum and reagents, enabling workflow solutions for drug discovery and bioproduction.</v>
    <v>56300</v>
    <v>New York Stock Exchange</v>
    <v>XNYS</v>
    <v>XNYS</v>
    <v>One Riverfront Plaza, CORNING, NY, 14831 US</v>
    <v>48.484999999999999</v>
    <v>Electronic Equipment &amp; Parts</v>
    <v>Stock</v>
    <v>45800.98826101797</v>
    <v>684</v>
    <v>47.67</v>
    <v>41418960000</v>
    <v>CORNING INCORPORATED</v>
    <v>CORNING INCORPORATED</v>
    <v>47.85</v>
    <v>93.166499999999999</v>
    <v>48.55</v>
    <v>48.36</v>
    <v>48.31</v>
    <v>856471400</v>
    <v>GLW</v>
    <v>CORNING INCORPORATED (XNYS:GLW)</v>
    <v>4889958</v>
    <v>5330036</v>
    <v>1936</v>
  </rv>
  <rv s="4">
    <v>685</v>
  </rv>
  <rv s="0">
    <v>https://www.bing.com/financeapi/forcetrigger?t=a1wh7w&amp;q=XNYS%3aKEYS&amp;form=skydnc</v>
    <v>Learn more on Bing</v>
  </rv>
  <rv s="5">
    <v>en-CA</v>
    <v>a1wh7w</v>
    <v>268435456</v>
    <v>1</v>
    <v>Powered by Refinitiv</v>
    <v>7</v>
    <v>KEYSIGHT TECHNOLOGIES, INC. (XNYS:KEYS)</v>
    <v>8</v>
    <v>9</v>
    <v>Finance</v>
    <v>5</v>
    <v>186.19990000000001</v>
    <v>119.72</v>
    <v>1.1013999999999999</v>
    <v>-1.71</v>
    <v>0</v>
    <v>-1.0572999999999999E-2</v>
    <v>0</v>
    <v>USD</v>
    <v>Keysight Technologies, Inc. specializes in the computing, communications and electronics market. Its portfolio of hardware, software, and services enables its customers’ engineering workflows as they design, manufacture, deploy, and optimize their products and solutions. Its segments include Communications Solutions Group (CSG) and Electronic Industrial Solutions Group (EISG). CSG serves customers spanning the global commercial communications and aerospace, defense, and government end markets. Its solutions consist of electronic design and test software, instrumentation, systems, and related services. EISG serves customers across a diverse set of end markets focused on automotive and energy, semiconductor solutions, and general electronics. Its solutions consist of electronic design, test and simulation software, instrumentation, systems, and related services. Its product categories include oscilloscopes, protocol analyzers, digital multimeters, and spectrum and signal analyzers.</v>
    <v>15400</v>
    <v>New York Stock Exchange</v>
    <v>XNYS</v>
    <v>XNYS</v>
    <v>1400 Fountaingrove Pkwy, SANTA ROSA, CA, 95403 US</v>
    <v>160.63</v>
    <v>Electronic Equipment &amp; Parts</v>
    <v>Stock</v>
    <v>45800.997949189063</v>
    <v>687</v>
    <v>157.8501</v>
    <v>27541160000</v>
    <v>KEYSIGHT TECHNOLOGIES, INC.</v>
    <v>KEYSIGHT TECHNOLOGIES, INC.</v>
    <v>158.44</v>
    <v>37.966000000000001</v>
    <v>161.74</v>
    <v>160.03</v>
    <v>160.03</v>
    <v>172100000</v>
    <v>KEYS</v>
    <v>KEYSIGHT TECHNOLOGIES, INC. (XNYS:KEYS)</v>
    <v>874740</v>
    <v>986207</v>
    <v>2013</v>
  </rv>
  <rv s="4">
    <v>688</v>
  </rv>
  <rv s="0">
    <v>https://www.bing.com/financeapi/forcetrigger?t=a243ec&amp;q=XNYS%3aTDY&amp;form=skydnc</v>
    <v>Learn more on Bing</v>
  </rv>
  <rv s="5">
    <v>en-CA</v>
    <v>a243ec</v>
    <v>268435456</v>
    <v>1</v>
    <v>Powered by Refinitiv</v>
    <v>7</v>
    <v>TELEDYNE TECHNOLOGIES INCORPORATED (XNYS:TDY)</v>
    <v>8</v>
    <v>9</v>
    <v>Finance</v>
    <v>5</v>
    <v>522.5</v>
    <v>380.63</v>
    <v>1.0384</v>
    <v>-1.82</v>
    <v>0</v>
    <v>-3.7290000000000001E-3</v>
    <v>0</v>
    <v>USD</v>
    <v>Teledyne Technologies Incorporated provides enabling technologies for industrial growth markets. These markets include factory automation, air and water quality environmental monitoring, electronics design and development, and others. Its segments include Digital Imaging, which includes sensors, cameras and systems, within the visible, infrared, ultraviolet and X-ray spectra for use in industrial, scientific, government, defense, and others; Instrumentation segment provides monitoring and control instruments for marine, environmental, industrial and other applications, and electronic test and measurement equipment; Aerospace and Defense Electronics segment provides electronic and optical components and subsystems, data acquisition and communications components and equipment, harsh environment interconnects, general aviation batteries and other components, and Engineered Systems segment provides systems engineering, integration and technology development and manufacturing solutions.</v>
    <v>14900</v>
    <v>New York Stock Exchange</v>
    <v>XNYS</v>
    <v>XNYS</v>
    <v>1049 Camino Dos Rios, THOUSAND OAKS, CA, 91360 US</v>
    <v>487.98500000000001</v>
    <v>Electronic Equipment &amp; Parts</v>
    <v>Stock</v>
    <v>45800.958333344533</v>
    <v>690</v>
    <v>483.23</v>
    <v>22783950000</v>
    <v>TELEDYNE TECHNOLOGIES INCORPORATED</v>
    <v>TELEDYNE TECHNOLOGIES INCORPORATED</v>
    <v>484.83</v>
    <v>27.8993</v>
    <v>488.04</v>
    <v>486.22</v>
    <v>486.22</v>
    <v>46859350</v>
    <v>TDY</v>
    <v>TELEDYNE TECHNOLOGIES INCORPORATED (XNYS:TDY)</v>
    <v>156326</v>
    <v>331453</v>
    <v>1999</v>
  </rv>
  <rv s="4">
    <v>691</v>
  </rv>
  <rv s="0">
    <v>http://zh.wikipedia.org/wiki/捷普科技</v>
    <v>Wikipedia</v>
  </rv>
  <rv s="1">
    <v>0</v>
    <v>693</v>
  </rv>
  <rv s="2">
    <v>6</v>
    <v>https://www.bing.com/th?id=AMMS_d8440c163e9148c41f419348ca63886c&amp;qlt=95</v>
    <v>694</v>
    <v>0</v>
    <v>https://www.bing.com/images/search?form=xlimg&amp;q=jabil+circuit</v>
    <v>Image of JABIL INC.</v>
  </rv>
  <rv s="0">
    <v>https://www.bing.com/financeapi/forcetrigger?t=a1w1ur&amp;q=XNYS%3aJBL&amp;form=skydnc</v>
    <v>Learn more on Bing</v>
  </rv>
  <rv s="3">
    <v>en-CA</v>
    <v>a1w1ur</v>
    <v>268435456</v>
    <v>1</v>
    <v>Powered by Refinitiv</v>
    <v>0</v>
    <v>JABIL INC. (XNYS:JBL)</v>
    <v>3</v>
    <v>4</v>
    <v>Finance</v>
    <v>5</v>
    <v>174.8</v>
    <v>95.844999999999999</v>
    <v>1.1321000000000001</v>
    <v>0.28000000000000003</v>
    <v>3.6880000000000003E-3</v>
    <v>1.696E-3</v>
    <v>0.61</v>
    <v>USD</v>
    <v>Jabil Inc. provides comprehensive engineering, manufacturing, and supply chain solutions. The Company provides comprehensive electronics design, production, and product management services to companies in various industries and end markets. The Company’s Regulated Industries segment is focused on regulated markets and includes revenues from customers primarily in the automotive and transportation, healthcare and packaging, and renewable energy infrastructure industries. Its Intelligent Infrastructure segment is focused on the modern digital ecosystem including artificial intelligence (AI) infrastructure and includes revenues from customers primarily in the capital equipment, cloud and data center infrastructure, and networking and communications industries. Its Connected Living and Digital Commerce segment is focused on digitalization and automation, including warehouse automation and robotics. The Company is also engaged in drug development and manufacturing solutions.</v>
    <v>138000</v>
    <v>New York Stock Exchange</v>
    <v>XNYS</v>
    <v>XNYS</v>
    <v>10800 Roosevelt Boulevard North, ST PETERSBURG, FL, 33716 US</v>
    <v>166.07499999999999</v>
    <v>695</v>
    <v>Electronic Equipment &amp; Parts</v>
    <v>Stock</v>
    <v>45800.99895107578</v>
    <v>696</v>
    <v>161.52000000000001</v>
    <v>17752770000</v>
    <v>JABIL INC.</v>
    <v>JABIL INC.</v>
    <v>161.88999999999999</v>
    <v>39.546500000000002</v>
    <v>165.1</v>
    <v>165.38</v>
    <v>165.99</v>
    <v>107345400</v>
    <v>JBL</v>
    <v>JABIL INC. (XNYS:JBL)</v>
    <v>595617</v>
    <v>1016766</v>
    <v>1992</v>
  </rv>
  <rv s="4">
    <v>697</v>
  </rv>
  <rv s="0">
    <v>https://www.bing.com/financeapi/forcetrigger?t=a26fww&amp;q=XNAS%3aZBRA&amp;form=skydnc</v>
    <v>Learn more on Bing</v>
  </rv>
  <rv s="5">
    <v>en-CA</v>
    <v>a26fww</v>
    <v>268435456</v>
    <v>1</v>
    <v>Powered by Refinitiv</v>
    <v>7</v>
    <v>ZEBRA TECHNOLOGIES CORPORATION (XNAS:ZBRA)</v>
    <v>8</v>
    <v>9</v>
    <v>Finance</v>
    <v>5</v>
    <v>427.755</v>
    <v>205.73</v>
    <v>1.7450000000000001</v>
    <v>-4.1500000000000004</v>
    <v>0</v>
    <v>-1.4392E-2</v>
    <v>0</v>
    <v>USD</v>
    <v>Zebra Technologies Corporation is engaged in the Automatic Identification and Data Capture (AIDC) industry. The Company helps organizations monitor, anticipate, and accelerate workflows by empowering their frontline and ensuring that everyone and everything is visible, connected and fully optimized. Its portfolio includes hardware, software, and services. It operates through two segments: Asset Intelligence &amp; Tracking (AIT) and Enterprise Visibility &amp; Mobility (EVM). The AIT segment is engaged in barcode printing and asset tracking technologies. Its product lines include barcode and card printers, radio frequency identification devices (RFID) and real-time location systems (RTLS) offerings, and supplies, including temperature-monitoring labels, and services. The EVM segment is engaged in automatic information and data capture solutions. Its product lines include mobile computing, data capture, fixed industrial scanning and machine vision, services, and workflow optimization solutions.</v>
    <v>9900</v>
    <v>Nasdaq Stock Market</v>
    <v>XNAS</v>
    <v>XNAS</v>
    <v>3 Overlook Point, LINCOLNSHIRE, IL, 60069 US</v>
    <v>285.25</v>
    <v>Electronic Equipment &amp; Parts</v>
    <v>Stock</v>
    <v>45800.999599767965</v>
    <v>699</v>
    <v>278.51</v>
    <v>14453310000</v>
    <v>ZEBRA TECHNOLOGIES CORPORATION</v>
    <v>ZEBRA TECHNOLOGIES CORPORATION</v>
    <v>280.48</v>
    <v>27.255700000000001</v>
    <v>288.36</v>
    <v>284.20999999999998</v>
    <v>284.20999999999998</v>
    <v>50854330</v>
    <v>ZBRA</v>
    <v>ZEBRA TECHNOLOGIES CORPORATION (XNAS:ZBRA)</v>
    <v>325273</v>
    <v>649794</v>
    <v>1991</v>
  </rv>
  <rv s="4">
    <v>700</v>
  </rv>
  <rv s="0">
    <v>https://www.bing.com/financeapi/forcetrigger?t=a1zzmw&amp;q=XNYS%3aPM&amp;form=skydnc</v>
    <v>Learn more on Bing</v>
  </rv>
  <rv s="5">
    <v>en-CA</v>
    <v>a1zzmw</v>
    <v>268435456</v>
    <v>1</v>
    <v>Powered by Refinitiv</v>
    <v>7</v>
    <v>Philip Morris International Inc. (XNYS:PM)</v>
    <v>8</v>
    <v>9</v>
    <v>Finance</v>
    <v>5</v>
    <v>178.7</v>
    <v>98.93</v>
    <v>0.53820000000000001</v>
    <v>2.96</v>
    <v>2.6939999999999998E-3</v>
    <v>1.6892000000000001E-2</v>
    <v>0.48</v>
    <v>USD</v>
    <v>Philip Morris International Inc. is an international tobacco company. The Company’s product portfolio primarily consists of cigarettes and smoke-free products. Its smoke-free business (SFB) also includes wellness and healthcare products, as well as consumer accessories, such as lighters and matches. The Company’s segments include Europe Region; South and Southeast Asia, Commonwealth of Independent States, Middle East and Africa Region (SSEA, CIS &amp; MEA); East Asia, Australia &amp; PMI Global Travel Retail (EA, AU &amp; PMI GTR), and Americas Region. The Company's brands include Marlboro, HEETS, IQOS, IQOS ILUMA, TEREA, VEEV and ZYN. Its IQOS smoke-free product brand portfolio includes heated tobacco and nicotine-containing vapor products. Its international cigarette brands are Chesterfield, L&amp;M, and Philip Morris. It also owns a number of local cigarette brands, such as Dji Sam Soe and Sampoerna A in Indonesia, and Fortune and Jackpot in the Philippines.</v>
    <v>83100</v>
    <v>New York Stock Exchange</v>
    <v>XNYS</v>
    <v>XNYS</v>
    <v>677 Washington Blvd, Ste. 1100, STAMFORD, CT, 06901 US</v>
    <v>178.7</v>
    <v>Food &amp; Tobacco</v>
    <v>Stock</v>
    <v>45800.998178344533</v>
    <v>702</v>
    <v>175.68</v>
    <v>277355800000</v>
    <v>Philip Morris International Inc.</v>
    <v>Philip Morris International Inc.</v>
    <v>175.68</v>
    <v>27.567599999999999</v>
    <v>175.23</v>
    <v>178.19</v>
    <v>178.67</v>
    <v>1556517000</v>
    <v>PM</v>
    <v>Philip Morris International Inc. (XNYS:PM)</v>
    <v>6164742</v>
    <v>6041778</v>
    <v>2007</v>
  </rv>
  <rv s="4">
    <v>703</v>
  </rv>
  <rv s="0">
    <v>https://www.bing.com/financeapi/forcetrigger?t=a1xtpr&amp;q=XNYS%3aMO&amp;form=skydnc</v>
    <v>Learn more on Bing</v>
  </rv>
  <rv s="5">
    <v>en-CA</v>
    <v>a1xtpr</v>
    <v>268435456</v>
    <v>1</v>
    <v>Powered by Refinitiv</v>
    <v>7</v>
    <v>Altria Group, Inc. (XNYS:MO)</v>
    <v>8</v>
    <v>9</v>
    <v>Finance</v>
    <v>5</v>
    <v>61.26</v>
    <v>43.83</v>
    <v>0.64490000000000003</v>
    <v>0.44</v>
    <v>-6.6960000000000001E-4</v>
    <v>7.4199999999999995E-3</v>
    <v>-0.04</v>
    <v>USD</v>
    <v>Altria Group, Inc. operates a portfolio of tobacco products for United States tobacco consumers aged 21+. Its segments include smokeable products and oral tobacco products. The smokeable products segment consists of combustible cigarettes and machine-made large cigars. The oral tobacco products segment includes moist smokeless tobacco (MST) products and oral nicotine pouches. Its wholly owned subsidiaries include manufacturers of both combustible and smoke-free products. In combustibles, it owns Philip Morris USA Inc. (PM USA), and John Middleton Co. (Middleton), which are cigarette manufacturers. Its smoke-free portfolio includes ownership of U.S. Smokeless Tobacco Company LLC (USSTC), a global MST manufacturer, Helix Innovations LLC (Helix), a manufacturer of oral nicotine pouches, and NJOY, LLC (NJOY), an e-vapor manufacturer with a commercialized product portfolio. The brand portfolios of its operating companies include Marlboro, Black &amp; Mild, Copenhagen, Skoal, on! and NJOY.</v>
    <v>6200</v>
    <v>New York Stock Exchange</v>
    <v>XNYS</v>
    <v>XNYS</v>
    <v>6601 W Broad St, RICHMOND, VA, 23230 US</v>
    <v>59.81</v>
    <v>Food &amp; Tobacco</v>
    <v>Stock</v>
    <v>45800.999660022659</v>
    <v>705</v>
    <v>59.261000000000003</v>
    <v>100629100000</v>
    <v>Altria Group, Inc.</v>
    <v>Altria Group, Inc.</v>
    <v>59.625</v>
    <v>9.9248999999999992</v>
    <v>59.3</v>
    <v>59.74</v>
    <v>59.7</v>
    <v>1684452000</v>
    <v>MO</v>
    <v>Altria Group, Inc. (XNYS:MO)</v>
    <v>4863065</v>
    <v>8408480</v>
    <v>1985</v>
  </rv>
  <rv s="4">
    <v>706</v>
  </rv>
  <rv s="0">
    <v>https://www.bing.com/financeapi/forcetrigger?t=a1xfoc&amp;q=XNAS%3aMDLZ&amp;form=skydnc</v>
    <v>Learn more on Bing</v>
  </rv>
  <rv s="5">
    <v>en-CA</v>
    <v>a1xfoc</v>
    <v>268435456</v>
    <v>1</v>
    <v>Powered by Refinitiv</v>
    <v>7</v>
    <v>Mondelez International, Inc. (XNAS:MDLZ)</v>
    <v>8</v>
    <v>9</v>
    <v>Finance</v>
    <v>5</v>
    <v>76.06</v>
    <v>53.95</v>
    <v>0.50109999999999999</v>
    <v>0.65</v>
    <v>-1.8140000000000001E-3</v>
    <v>9.9249999999999998E-3</v>
    <v>-0.12</v>
    <v>USD</v>
    <v>Mondelez International, Inc. is a snack company. The Company’s core business is making and selling chocolate, biscuits and baked snacks. The Company also has additional businesses in adjacent, locally relevant categories including gum and candy, cheese and grocery and powdered beverages. Its portfolio includes global and local brands such as Oreo, Ritz, LU, Clif Bar and Tate’s Bake Shop biscuits and baked snacks, as well as Cadbury Dairy Milk, Milka and Toblerone chocolate. The Company’s segments include Latin America, AMEA, Europe and North America. It sells its products in over 150 countries and has operations in approximately 80 countries, including 147 principal manufacturing and processing facilities across 46 countries. It sells its products to supermarket chains, wholesalers, supercenters, club stores, mass merchandisers, distributors, convenience stores, gasoline stations, drug stores, value stores and other retail food outlets.</v>
    <v>90000</v>
    <v>Nasdaq Stock Market</v>
    <v>XNAS</v>
    <v>XNAS</v>
    <v>905 West Fulton Market, Suite 200, CHICAGO, IL, 60607 US</v>
    <v>66.430000000000007</v>
    <v>Food &amp; Tobacco</v>
    <v>Stock</v>
    <v>45800.947268321092</v>
    <v>708</v>
    <v>65.12</v>
    <v>85639090000</v>
    <v>Mondelez International, Inc.</v>
    <v>Mondelez International, Inc.</v>
    <v>65.58</v>
    <v>24.347200000000001</v>
    <v>65.489999999999995</v>
    <v>66.14</v>
    <v>66.02</v>
    <v>1294815000</v>
    <v>MDLZ</v>
    <v>Mondelez International, Inc. (XNAS:MDLZ)</v>
    <v>6737551</v>
    <v>7625450</v>
    <v>2000</v>
  </rv>
  <rv s="4">
    <v>709</v>
  </rv>
  <rv s="0">
    <v>https://www.bing.com/financeapi/forcetrigger?t=a1tvzr&amp;q=XNYS%3aGIS&amp;form=skydnc</v>
    <v>Learn more on Bing</v>
  </rv>
  <rv s="5">
    <v>en-CA</v>
    <v>a1tvzr</v>
    <v>268435456</v>
    <v>1</v>
    <v>Powered by Refinitiv</v>
    <v>7</v>
    <v>GENERAL MILLS, INC. (XNYS:GIS)</v>
    <v>8</v>
    <v>9</v>
    <v>Finance</v>
    <v>5</v>
    <v>75.900000000000006</v>
    <v>52.39</v>
    <v>1.8499999999999999E-2</v>
    <v>0.04</v>
    <v>2.248E-3</v>
    <v>7.4989999999999996E-4</v>
    <v>0.12</v>
    <v>USD</v>
    <v>General Mills, Inc. is a global manufacturer and marketer of branded consumer foods with more than 100 brands in 100 countries across six continents. The Company's segments include North America Retail, International, North America Pet, and North America Foodservice. The North America Retail segment reflects business with a variety of grocery stores, mass merchandisers, membership stores, natural food chains, drug, dollar and discount chains, convenience stores, and e-commerce grocery providers. The International segment consists of retail and foodservice businesses outside of the United States and Canada. The North America Pet segment includes pet food products sold primarily in the United States and Canada in national pet superstore chains, e-commerce retailers, grocery stores, regional pet store chains, mass merchandisers, and veterinary clinics and hospitals. The North America Foodservice segment consists of foodservice businesses in the United States and Canada.</v>
    <v>34000</v>
    <v>New York Stock Exchange</v>
    <v>XNYS</v>
    <v>XNYS</v>
    <v>Number One General Mills Blvd, MINNEAPOLIS, MN, 55426 US</v>
    <v>53.555</v>
    <v>Food &amp; Tobacco</v>
    <v>Stock</v>
    <v>45800.997928344528</v>
    <v>711</v>
    <v>52.69</v>
    <v>29230920000</v>
    <v>GENERAL MILLS, INC.</v>
    <v>GENERAL MILLS, INC.</v>
    <v>53.51</v>
    <v>11.7157</v>
    <v>53.34</v>
    <v>53.38</v>
    <v>53.5</v>
    <v>547600500</v>
    <v>GIS</v>
    <v>GENERAL MILLS, INC. (XNYS:GIS)</v>
    <v>3804551</v>
    <v>4444331</v>
    <v>1928</v>
  </rv>
  <rv s="4">
    <v>712</v>
  </rv>
  <rv s="0">
    <v>https://www.bing.com/financeapi/forcetrigger?t=a1wi77&amp;q=XNAS%3aKHC&amp;form=skydnc</v>
    <v>Learn more on Bing</v>
  </rv>
  <rv s="5">
    <v>en-CA</v>
    <v>a1wi77</v>
    <v>268435456</v>
    <v>1</v>
    <v>Powered by Refinitiv</v>
    <v>7</v>
    <v>THE KRAFT HEINZ COMPANY (XNAS:KHC)</v>
    <v>8</v>
    <v>9</v>
    <v>Finance</v>
    <v>5</v>
    <v>36.53</v>
    <v>26.01</v>
    <v>0.2447</v>
    <v>-0.2</v>
    <v>1.152E-3</v>
    <v>-7.5470000000000008E-3</v>
    <v>3.0300000000000001E-2</v>
    <v>USD</v>
    <v>The Kraft Heinz Company manufactures and markets food and beverage products around the world through its eight consumer-driven product platforms: Taste Elevation, Easy Ready Meals, Hydration, Meats, Cheeses, Substantial Snacking, Desserts, Coffee, and other grocery products. The Company has two reportable segments defined by geographic region: North America and International Developed Markets. Its other segments, consisting of West and East Emerging Markets (WEEM) and Asia Emerging Markets (AEM), are combined and disclosed as Emerging Markets. It manufactures its products from a wide variety of raw materials. Its brands include Kraft, Oscar Mayer, Heinz, Philadelphia, Lunchables, Velveeta, Ore-Ida, Capri Sun, Maxwell House, Kool-Aid, Jell-O, Heinz, Golden Circle, Wattie’s, Plasmon, Heinz, ABC, Master, Quero, Kraft, and Pudliszki, among others. The Company’s products are sold through its own sales organizations and through independent brokers, agents, and distributors.</v>
    <v>36000</v>
    <v>Nasdaq Stock Market</v>
    <v>XNAS</v>
    <v>XNAS</v>
    <v>1 Ppg Pl, PITTSBURGH, PA, 15222-5415 US</v>
    <v>26.5199</v>
    <v>Food &amp; Tobacco</v>
    <v>Stock</v>
    <v>45800.999605914061</v>
    <v>714</v>
    <v>26.01</v>
    <v>31127160000</v>
    <v>THE KRAFT HEINZ COMPANY</v>
    <v>THE KRAFT HEINZ COMPANY</v>
    <v>26.49</v>
    <v>12.039199999999999</v>
    <v>26.5</v>
    <v>26.3</v>
    <v>26.330300000000001</v>
    <v>1183542000</v>
    <v>KHC</v>
    <v>THE KRAFT HEINZ COMPANY (XNAS:KHC)</v>
    <v>10300135</v>
    <v>10495460</v>
    <v>2013</v>
  </rv>
  <rv s="4">
    <v>715</v>
  </rv>
  <rv s="0">
    <v>https://www.bing.com/financeapi/forcetrigger?t=a1uwu2&amp;q=XNYS%3aHSY&amp;form=skydnc</v>
    <v>Learn more on Bing</v>
  </rv>
  <rv s="5">
    <v>en-CA</v>
    <v>a1uwu2</v>
    <v>268435456</v>
    <v>1</v>
    <v>Powered by Refinitiv</v>
    <v>7</v>
    <v>THE HERSHEY COMPANY (XNYS:HSY)</v>
    <v>8</v>
    <v>9</v>
    <v>Finance</v>
    <v>5</v>
    <v>208.03</v>
    <v>140.13</v>
    <v>0.28299999999999997</v>
    <v>1.49</v>
    <v>9.6560000000000005E-4</v>
    <v>9.6839999999999999E-3</v>
    <v>0.15</v>
    <v>USD</v>
    <v>The Hershey Company is a snacks company. The Company's segments include North America Confectionery, North America Salty Snacks and International. The North America Confectionery segment is responsible for its traditional chocolate and non-chocolate confectionery market position in the United States and Canada. This includes its business in chocolate and non-chocolate confectionery, gum and refreshment products, protein bars, spreads, snack bites and mixes, as well as pantry and food service lines. This segment also includes its retail operations. The North America Salty Snacks segment is responsible for its salty snacking products in the United States. This includes ready-to-eat popcorn, baked and trans fat free snacks, pretzels and other snacks. The Company's portfolio includes chocolate and confectionery brands such as Hershey's, Reese's, Kisses, Kit Kat, Jolly Rancher, Ice Breakers, Shaq-a-licious alongside salty snacks including SkinnyPop and Dot's Homestyle Pretzels.</v>
    <v>18540</v>
    <v>New York Stock Exchange</v>
    <v>XNYS</v>
    <v>XNYS</v>
    <v>19 East Chocolate Avenue, External Rptg &amp; Compliance, HERSHEY, PA, 17033 US</v>
    <v>155.87</v>
    <v>Food &amp; Tobacco</v>
    <v>Stock</v>
    <v>45800.995788205466</v>
    <v>717</v>
    <v>152.21</v>
    <v>31474500000</v>
    <v>THE HERSHEY COMPANY</v>
    <v>THE HERSHEY COMPANY</v>
    <v>155.11000000000001</v>
    <v>17.726299999999998</v>
    <v>153.86000000000001</v>
    <v>155.35</v>
    <v>155.5</v>
    <v>202603800</v>
    <v>HSY</v>
    <v>THE HERSHEY COMPANY (XNYS:HSY)</v>
    <v>1907627</v>
    <v>1690845</v>
    <v>1927</v>
  </rv>
  <rv s="4">
    <v>718</v>
  </rv>
  <rv s="0">
    <v>https://www.bing.com/financeapi/forcetrigger?t=a1mvm7&amp;q=XNYS%3aADM&amp;form=skydnc</v>
    <v>Learn more on Bing</v>
  </rv>
  <rv s="5">
    <v>en-CA</v>
    <v>a1mvm7</v>
    <v>268435456</v>
    <v>1</v>
    <v>Powered by Refinitiv</v>
    <v>7</v>
    <v>ARCHER-DANIELS-MIDLAND COMPANY. (XNYS:ADM)</v>
    <v>8</v>
    <v>9</v>
    <v>Finance</v>
    <v>5</v>
    <v>66.08</v>
    <v>40.98</v>
    <v>0.66159999999999997</v>
    <v>-0.02</v>
    <v>4.6309999999999997E-3</v>
    <v>-4.17E-4</v>
    <v>0.222</v>
    <v>USD</v>
    <v>Archer-Daniels-Midland Company is a global agricultural supply chain manager and processor, providing food security by connecting local needs with global capabilities. It is a human and animal nutrition provider. Its Ag Services and Oilseeds segment includes global activities related to the origination, merchandising, transportation, and storage of agricultural raw materials, and the crushing and further processing of oilseeds, such as soybeans and soft seeds into vegetable oils and protein meals. Carbohydrate Solutions segment is engaged in corn and wheat wet and dry milling and other activities. Nutrition segment is engaged in the creation, manufacturing, sale, and distribution of a wide array of ingredients and solutions, including plant-based proteins, flavors and colors derived from nature, flavor systems, emulsifiers, soluble fiber, polyols, hydrocolloids, probiotics, prebiotics, postbiotics, enzymes, botanical extracts, and other specialty food and feed ingredients and systems.</v>
    <v>42383</v>
    <v>New York Stock Exchange</v>
    <v>XNYS</v>
    <v>XNYS</v>
    <v>77 W. Wacker Dr., CHICAGO, IL, 60601 US</v>
    <v>48.06</v>
    <v>Food &amp; Tobacco</v>
    <v>Stock</v>
    <v>45800.980654385938</v>
    <v>720</v>
    <v>47.25</v>
    <v>23032770000</v>
    <v>ARCHER-DANIELS-MIDLAND COMPANY.</v>
    <v>ARCHER-DANIELS-MIDLAND COMPANY.</v>
    <v>47.6</v>
    <v>17.0517</v>
    <v>47.96</v>
    <v>47.94</v>
    <v>48.161999999999999</v>
    <v>480450000</v>
    <v>ADM</v>
    <v>ARCHER-DANIELS-MIDLAND COMPANY. (XNYS:ADM)</v>
    <v>1674732</v>
    <v>3167379</v>
    <v>1923</v>
  </rv>
  <rv s="4">
    <v>721</v>
  </rv>
  <rv s="0">
    <v>https://www.bing.com/financeapi/forcetrigger?t=a1wdp2&amp;q=XNYS%3aK&amp;form=skydnc</v>
    <v>Learn more on Bing</v>
  </rv>
  <rv s="5">
    <v>en-CA</v>
    <v>a1wdp2</v>
    <v>268435456</v>
    <v>1</v>
    <v>Powered by Refinitiv</v>
    <v>7</v>
    <v>KELLANOVA (XNYS:K)</v>
    <v>8</v>
    <v>9</v>
    <v>Finance</v>
    <v>5</v>
    <v>83.22</v>
    <v>55.96</v>
    <v>0.29470000000000002</v>
    <v>0.31</v>
    <v>0</v>
    <v>3.777E-3</v>
    <v>0</v>
    <v>USD</v>
    <v>Kellanova is engaged in manufacturing and marketing of snacks and convenience foods. The Company’s segments include North America, Europe, Latin America, and AMEA (Asia Middle East Africa). Its principal products are snacks, such as crackers, savory snacks, toaster pastries, cereal bars, granola bars and bites, and convenience foods, such as, ready-to-eat cereals, frozen waffles, veggie foods and noodles. Its snacks brands are marketed under brands such as Kellogg's, Cheez-It, Pringles, Austin, Parati, and RXBAR. Its frozen foods are marketed under the Eggo and Morningstar Farms brands. It also markets crackers, crisps, and other convenience foods, under brands such as Kellogg’s, Cheez-It, Pringles, and Austin, to supermarkets in the United States through a variety of distribution methods. Its brand names include Kellogg’s Corn Flake Crumbs, Choco Krispis, Crunchy Nut, Kashi, Nutri-Grain, Special K, Squares, Zucaritas, Rice Krispies Treats, and Sucrilhos for cereal bars.</v>
    <v>24000</v>
    <v>New York Stock Exchange</v>
    <v>XNYS</v>
    <v>XNYS</v>
    <v>412 N WELLS ST, CHICAGO, IL, 60654 US</v>
    <v>82.43</v>
    <v>Food &amp; Tobacco</v>
    <v>Stock</v>
    <v>45800.958333344533</v>
    <v>723</v>
    <v>82</v>
    <v>28584310000</v>
    <v>KELLANOVA</v>
    <v>KELLANOVA</v>
    <v>82.29</v>
    <v>20.666499999999999</v>
    <v>82.08</v>
    <v>82.39</v>
    <v>82.39</v>
    <v>346939100</v>
    <v>K</v>
    <v>KELLANOVA (XNYS:K)</v>
    <v>2202389</v>
    <v>3184695</v>
    <v>1922</v>
  </rv>
  <rv s="4">
    <v>724</v>
  </rv>
  <rv s="0">
    <v>https://www.bing.com/financeapi/forcetrigger?t=a1vcgh&amp;q=XNYS%3aIFF&amp;form=skydnc</v>
    <v>Learn more on Bing</v>
  </rv>
  <rv s="6">
    <v>en-CA</v>
    <v>a1vcgh</v>
    <v>268435456</v>
    <v>1</v>
    <v>Powered by Refinitiv</v>
    <v>10</v>
    <v>INTERNATIONAL FLAVORS &amp; FRAGRANCES INC. (XNYS:IFF)</v>
    <v>8</v>
    <v>11</v>
    <v>Finance</v>
    <v>5</v>
    <v>106.77</v>
    <v>65.849999999999994</v>
    <v>1.0826</v>
    <v>-0.72</v>
    <v>2.3733000000000001E-2</v>
    <v>-9.5090000000000001E-3</v>
    <v>1.78</v>
    <v>USD</v>
    <v>International Flavors &amp; Fragrances Inc. is a creator and manufacturer of food, beverage, health and biosciences, scent, and complementary adjacent products. The Company's segment includes Taste, Food Ingredients, Health &amp; Biosciences, and Scent. The Taste segment consists of a range of flavor compounds and natural taste solutions used in food and beverage applications. The Food Ingredients segment includes a broad portfolio of natural and plant-based specialty ingredients that provide texturizing and food protection capabilities, as well as soy and pea protein solutions, emulsifiers, and sweeteners. Its Health &amp; Biosciences segment consists of the development and production of an advanced biotechnology-derived portfolio of enzymes, food cultures, probiotics and specialty ingredients for food and non-food applications. Its Scent segment creates fragrance compounds and fragrance ingredients that are integral elements in perfumes and household and personal care products.</v>
    <v>22400</v>
    <v>New York Stock Exchange</v>
    <v>XNYS</v>
    <v>XNYS</v>
    <v>521 W 57TH ST, NEW YORK, NY, 10019 US</v>
    <v>75.55</v>
    <v>Food &amp; Tobacco</v>
    <v>Stock</v>
    <v>45800.987343078123</v>
    <v>726</v>
    <v>74.254999999999995</v>
    <v>19184280000</v>
    <v>INTERNATIONAL FLAVORS &amp; FRAGRANCES INC.</v>
    <v>INTERNATIONAL FLAVORS &amp; FRAGRANCES INC.</v>
    <v>74.959999999999994</v>
    <v>75.72</v>
    <v>75</v>
    <v>76.78</v>
    <v>255790300</v>
    <v>IFF</v>
    <v>INTERNATIONAL FLAVORS &amp; FRAGRANCES INC. (XNYS:IFF)</v>
    <v>1402575</v>
    <v>1737414</v>
    <v>1909</v>
  </rv>
  <rv s="4">
    <v>727</v>
  </rv>
  <rv s="0">
    <v>http://zh.wikipedia.org/wiki/味可美</v>
    <v>Wikipedia</v>
  </rv>
  <rv s="1">
    <v>0</v>
    <v>729</v>
  </rv>
  <rv s="2">
    <v>6</v>
    <v>https://www.bing.com/th?id=AMMS_8d96836a886471f7120ce0135f3ca8bd&amp;qlt=95</v>
    <v>730</v>
    <v>0</v>
    <v>https://www.bing.com/images/search?form=xlimg&amp;q=mccormick+%26+company</v>
    <v>Image of MCCORMICK &amp; COMPANY, INCORPORATED</v>
  </rv>
  <rv s="0">
    <v>https://www.bing.com/financeapi/forcetrigger?t=a1xoc7&amp;q=XNYS%3aMKC&amp;form=skydnc</v>
    <v>Learn more on Bing</v>
  </rv>
  <rv s="3">
    <v>en-CA</v>
    <v>a1xoc7</v>
    <v>268435456</v>
    <v>1</v>
    <v>Powered by Refinitiv</v>
    <v>0</v>
    <v>MCCORMICK &amp; COMPANY, INCORPORATED (XNYS:MKC)</v>
    <v>3</v>
    <v>4</v>
    <v>Finance</v>
    <v>5</v>
    <v>86.24</v>
    <v>66.883499999999998</v>
    <v>0.69169999999999998</v>
    <v>-0.2</v>
    <v>-2.2641000000000001E-2</v>
    <v>-2.8050000000000002E-3</v>
    <v>-1.61</v>
    <v>USD</v>
    <v>McCormick &amp; Company, Incorporated manufactures, markets, and distributes herbs, spices, seasonings, condiments and flavors to the entire food and beverage industry, including retailers, food manufacturers and foodservice businesses. It operates through two segments: consumer and flavor solutions. The consumer segment sells to retail channels, including grocery, mass merchandise, warehouse clubs, discount and drug stores, and e-commerce under the McCormick brand and a variety of brands around the world, including French's, Frank's RedHot, Lawry’s, Zatarain’s, Simply Asia, Thai Kitchen, Ducros, Vahine, Cholula, Schwartz, Club House, Kamis, DaQiao, La Drogheria, Stubb's, OLD BAY, Gourmet Garden, and others. In its flavor solutions segment, it provides a range of products to multinational food manufacturers and foodservice customers. The foodservice customers are supplied with branded, packaged products both directly by the Company and indirectly through distributors.</v>
    <v>14100</v>
    <v>New York Stock Exchange</v>
    <v>XNYS</v>
    <v>XNYS</v>
    <v>24 Schilling Road, Suite 1, HUNT VALLEY, MD, 21031 US</v>
    <v>71.479399999999998</v>
    <v>731</v>
    <v>Food &amp; Tobacco</v>
    <v>Stock</v>
    <v>45800.963347383593</v>
    <v>732</v>
    <v>69.98</v>
    <v>19070470000</v>
    <v>MCCORMICK &amp; COMPANY, INCORPORATED</v>
    <v>MCCORMICK &amp; COMPANY, INCORPORATED</v>
    <v>71.36</v>
    <v>24.499700000000001</v>
    <v>71.31</v>
    <v>71.11</v>
    <v>69.5</v>
    <v>268187100</v>
    <v>MKC</v>
    <v>MCCORMICK &amp; COMPANY, INCORPORATED (XNYS:MKC)</v>
    <v>3700796</v>
    <v>2155713</v>
    <v>1915</v>
  </rv>
  <rv s="4">
    <v>733</v>
  </rv>
  <rv s="0">
    <v>https://www.bing.com/financeapi/forcetrigger?t=a24km7&amp;q=XNYS%3aTSN&amp;form=skydnc</v>
    <v>Learn more on Bing</v>
  </rv>
  <rv s="5">
    <v>en-CA</v>
    <v>a24km7</v>
    <v>268435456</v>
    <v>1</v>
    <v>Powered by Refinitiv</v>
    <v>7</v>
    <v>TYSON FOODS, INCORPORATED (XNYS:TSN)</v>
    <v>8</v>
    <v>9</v>
    <v>Finance</v>
    <v>5</v>
    <v>66.88</v>
    <v>53.61</v>
    <v>0.6008</v>
    <v>7.0000000000000007E-2</v>
    <v>5.2209999999999999E-3</v>
    <v>1.2620000000000001E-3</v>
    <v>0.28999999999999998</v>
    <v>USD</v>
    <v>Tyson Foods, Inc. is a food company. The Company has a portfolio of iconic products and brands, including Tyson, Jimmy Dean, Hillshire Farm, Ball Park, Wright, State Fair, Aidells and ibp. Its segments include Beef, Pork, Chicken and Prepared Foods. The Beef segment includes operations related to processing live-fed cattle and fabricating dressed beef carcasses into primal and sub-primal meat cuts and case-ready products. Its Pork segment includes operations related to processing live market hogs and fabricating pork carcasses into primal and sub-primal cuts and case-ready products. The Chicken segment includes domestic operations related to raising and processing live chickens into, and purchasing raw materials for fresh, frozen and value-added chicken products and sales from specialty products. The Prepared Foods segment includes operations related to manufacturing and marketing frozen and refrigerated food products and logistics operations to move products through the supply chain.</v>
    <v>138000</v>
    <v>New York Stock Exchange</v>
    <v>XNYS</v>
    <v>XNYS</v>
    <v>2200 DON TYSON PARKWAY, SPRINGDALE, AR, 72762-6999 US</v>
    <v>55.689</v>
    <v>Food &amp; Tobacco</v>
    <v>Stock</v>
    <v>45800.994103529687</v>
    <v>735</v>
    <v>54.685000000000002</v>
    <v>19788820000</v>
    <v>TYSON FOODS, INCORPORATED</v>
    <v>TYSON FOODS, INCORPORATED</v>
    <v>55.38</v>
    <v>21.531300000000002</v>
    <v>55.48</v>
    <v>55.55</v>
    <v>55.84</v>
    <v>356234400</v>
    <v>TSN</v>
    <v>TYSON FOODS, INCORPORATED (XNYS:TSN)</v>
    <v>2629672</v>
    <v>3486898</v>
    <v>1986</v>
  </rv>
  <rv s="4">
    <v>736</v>
  </rv>
  <rv s="0">
    <v>https://www.bing.com/financeapi/forcetrigger?t=a1p55r&amp;q=XNYS%3aCAG&amp;form=skydnc</v>
    <v>Learn more on Bing</v>
  </rv>
  <rv s="5">
    <v>en-CA</v>
    <v>a1p55r</v>
    <v>268435456</v>
    <v>1</v>
    <v>Powered by Refinitiv</v>
    <v>7</v>
    <v>CONAGRA BRANDS, INC. (XNYS:CAG)</v>
    <v>8</v>
    <v>9</v>
    <v>Finance</v>
    <v>5</v>
    <v>33.24</v>
    <v>21.98</v>
    <v>0.1454</v>
    <v>0.09</v>
    <v>2.232E-3</v>
    <v>4.0339999999999994E-3</v>
    <v>0.05</v>
    <v>USD</v>
    <v>Conagra Brands, Inc. is a consumer-packaged goods food company. The Company’s segments include Grocery &amp; Snacks that includes branded, shelf-stable food products sold in various retail channels in the United States; Refrigerated &amp; Frozen segment includes branded, temperature-controlled food products sold in various retail channels in the United States; International segment principally includes branded food products in various temperature states, sold in various retail and foodservice channels outside of the United States, and Foodservice segment includes branded and customized food products, including meals, entrees, sauces, and a variety of custom-manufactured culinary products packaged for sale to restaurants and other foodservice establishments primarily in the United States. Its brands include Birds Eye, Duncan Hines, Healthy Choice, Marie Callender’s, Reddi-wip, and BOOMCHICKAPOP. It also offers FATTY Smoked Meat Sticks made with quality pork and beef smoked with hickory wood.</v>
    <v>18500</v>
    <v>New York Stock Exchange</v>
    <v>XNYS</v>
    <v>XNYS</v>
    <v>222 W. Merchandise Mart Plaza, Suite 1300, CHICAGO, IL, 60654 US</v>
    <v>22.46</v>
    <v>Food &amp; Tobacco</v>
    <v>Stock</v>
    <v>45800.993181284372</v>
    <v>738</v>
    <v>22.004999999999999</v>
    <v>10692920000</v>
    <v>CONAGRA BRANDS, INC.</v>
    <v>CONAGRA BRANDS, INC.</v>
    <v>22.35</v>
    <v>32.636000000000003</v>
    <v>22.31</v>
    <v>22.4</v>
    <v>22.45</v>
    <v>477362500</v>
    <v>CAG</v>
    <v>CONAGRA BRANDS, INC. (XNYS:CAG)</v>
    <v>6785070</v>
    <v>6333974</v>
    <v>1975</v>
  </rv>
  <rv s="4">
    <v>739</v>
  </rv>
  <rv s="0">
    <v>https://www.bing.com/financeapi/forcetrigger?t=a2319c&amp;q=XNYS%3aSJM&amp;form=skydnc</v>
    <v>Learn more on Bing</v>
  </rv>
  <rv s="6">
    <v>en-CA</v>
    <v>a2319c</v>
    <v>268435456</v>
    <v>1</v>
    <v>Powered by Refinitiv</v>
    <v>10</v>
    <v>THE J. M. SMUCKER COMPANY (XNYS:SJM)</v>
    <v>8</v>
    <v>11</v>
    <v>Finance</v>
    <v>5</v>
    <v>125.41500000000001</v>
    <v>98.77</v>
    <v>0.3387</v>
    <v>0.65</v>
    <v>2.7610000000000003E-2</v>
    <v>5.8040000000000001E-3</v>
    <v>3.11</v>
    <v>USD</v>
    <v>The J. M. Smucker Company is engaged in the manufacturing and marketing of branded food and beverage products on a worldwide basis. The Company’s branded food and beverage products include a portfolio of brands that are sold to consumers primarily through retail outlets in North America. The Company operates through four segments: U.S. Retail Coffee, U.S. Retail Frozen Handheld and Spreads, and U.S. Retail Pet Foods and Sweet Baked Snacks. The U.S. Retail Coffee segment primarily includes the domestic sales of Folgers, Dunkin’, and Cafe Bustelo branded coffee. The U.S. Retail Frozen Handheld and Spreads segment primarily includes the domestic sales of Smucker’s and Jif branded products. The U.S. Retail Pet Foods segment primarily includes the domestic sales of Meow Mix, Milk-Bone, Pup-Peroni, and Canine Carry Outs branded products. The Sweet Baked Snacks segment primarily includes all domestic and foreign sales of Hostess branded products on all channels.</v>
    <v>9000</v>
    <v>New York Stock Exchange</v>
    <v>XNYS</v>
    <v>XNYS</v>
    <v>One Strawberry Lane, ORRVILLE, OH, 44667-1241 US</v>
    <v>112.79</v>
    <v>Food &amp; Tobacco</v>
    <v>Stock</v>
    <v>45800.991840150004</v>
    <v>741</v>
    <v>110.71</v>
    <v>11986770000</v>
    <v>THE J. M. SMUCKER COMPANY</v>
    <v>THE J. M. SMUCKER COMPANY</v>
    <v>112.04</v>
    <v>111.99</v>
    <v>112.64</v>
    <v>115.75</v>
    <v>106416600</v>
    <v>SJM</v>
    <v>THE J. M. SMUCKER COMPANY (XNYS:SJM)</v>
    <v>683076</v>
    <v>1016085</v>
    <v>1921</v>
  </rv>
  <rv s="4">
    <v>742</v>
  </rv>
  <rv s="0">
    <v>https://www.bing.com/financeapi/forcetrigger?t=a1oeww&amp;q=XNYS%3aBG&amp;form=skydnc</v>
    <v>Learn more on Bing</v>
  </rv>
  <rv s="5">
    <v>en-CA</v>
    <v>a1oeww</v>
    <v>268435456</v>
    <v>1</v>
    <v>Powered by Refinitiv</v>
    <v>7</v>
    <v>Bunge Global Ltd (XNYS:BG)</v>
    <v>8</v>
    <v>9</v>
    <v>Finance</v>
    <v>5</v>
    <v>114.92</v>
    <v>67.400000000000006</v>
    <v>0.66879999999999995</v>
    <v>0.3</v>
    <v>-3.3289999999999999E-3</v>
    <v>3.8560000000000001E-3</v>
    <v>-0.26</v>
    <v>USD</v>
    <v>Bunge Global SA is a global agribusiness and food company. The Company conducts its operations via four segments: Agribusiness, Refined and Specialty Oils, Milling, and Sugar and Bioenergy. Its Agribusiness segment is an integrated, global business principally involved in the purchase, storage, transportation, processing and sale of agricultural commodities and commodity products. Its Agribusiness operations are located in North and South America, Europe, and Asia-Pacific. The Refined and Specialty Oils segment includes businesses that sell vegetable oils and fats, including cooking oils, shortenings, specialty ingredients, and renewable diesel feedstocks. The operations of its Refined and Specialty Oils segment are primarily located in North and South America, Europe and Asia-Pacific. The Milling segment includes businesses that sell wheat flours, bakery mixes, and corn-based products. The operations of its Milling segment are located in North and South America.</v>
    <v>23000</v>
    <v>New York Stock Exchange</v>
    <v>XNYS</v>
    <v>XNYS</v>
    <v>1391 Timberlake Manor Parkway, CHESTERFIELD, MO, 63017 US</v>
    <v>78.489999999999995</v>
    <v>Food &amp; Tobacco</v>
    <v>Stock</v>
    <v>45800.98230688594</v>
    <v>744</v>
    <v>76.599999999999994</v>
    <v>10497030000</v>
    <v>Bunge Global Ltd</v>
    <v>Bunge Global Ltd</v>
    <v>76.98</v>
    <v>9.8672000000000004</v>
    <v>77.8</v>
    <v>78.099999999999994</v>
    <v>77.84</v>
    <v>134405000</v>
    <v>BG</v>
    <v>Bunge Global Ltd (XNYS:BG)</v>
    <v>1272057</v>
    <v>1796976</v>
    <v>2023</v>
  </rv>
  <rv s="4">
    <v>745</v>
  </rv>
  <rv s="0">
    <v>https://www.bing.com/financeapi/forcetrigger?t=a1uv7w&amp;q=XNYS%3aHRL&amp;form=skydnc</v>
    <v>Learn more on Bing</v>
  </rv>
  <rv s="5">
    <v>en-CA</v>
    <v>a1uv7w</v>
    <v>268435456</v>
    <v>1</v>
    <v>Powered by Refinitiv</v>
    <v>7</v>
    <v>HORMEL FOODS CORPORATION (XNYS:HRL)</v>
    <v>8</v>
    <v>9</v>
    <v>Finance</v>
    <v>5</v>
    <v>35.33</v>
    <v>27.59</v>
    <v>0.32490000000000002</v>
    <v>-0.01</v>
    <v>1.4945999999999999E-2</v>
    <v>-3.3959999999999996E-4</v>
    <v>0.44</v>
    <v>USD</v>
    <v>Hormel Foods Corporation is a global-branded food company. The Company develops, processes, and distributes a range of food products in a variety of markets. Its segments include Retail, Foodservice, and International. The Retail segment is primarily engaged in the processing, marketing, and sale of food products sold predominantly in the retail market. This segment also includes the Company’s MegaMex Foods, LLC joint venture. The Foodservice segment consists primarily of the processing, marketing, and sale of food products to foodservice, convenience store, and commercial customers located in the United States. The International segment processes, markets, and sells its products internationally. This segment also includes the results from the Company’s international joint ventures, international equity method investments, and international royalty arrangements. It has a global presence within several major international markets, including Australia, Brazil, Canada, China, and England.</v>
    <v>20000</v>
    <v>New York Stock Exchange</v>
    <v>XNYS</v>
    <v>XNYS</v>
    <v>1 Hormel Pl, AUSTIN, MN, 55912-3680 US</v>
    <v>29.56</v>
    <v>Food &amp; Tobacco</v>
    <v>Stock</v>
    <v>45800.958333356248</v>
    <v>747</v>
    <v>29</v>
    <v>16189420000</v>
    <v>HORMEL FOODS CORPORATION</v>
    <v>HORMEL FOODS CORPORATION</v>
    <v>29.45</v>
    <v>21.377099999999999</v>
    <v>29.45</v>
    <v>29.44</v>
    <v>29.88</v>
    <v>549912500</v>
    <v>HRL</v>
    <v>HORMEL FOODS CORPORATION (XNYS:HRL)</v>
    <v>2770830</v>
    <v>2666098</v>
    <v>1928</v>
  </rv>
  <rv s="4">
    <v>748</v>
  </rv>
  <rv s="0">
    <v>https://www.bing.com/financeapi/forcetrigger?t=a1q7jc&amp;q=XNYS%3aCPB&amp;form=skydnc</v>
    <v>Learn more on Bing</v>
  </rv>
  <rv s="5">
    <v>en-CA</v>
    <v>a1q7jc</v>
    <v>268435456</v>
    <v>1</v>
    <v>Powered by Refinitiv</v>
    <v>7</v>
    <v>THE CAMPBELL'S COMPANY (XNAS:CPB)</v>
    <v>8</v>
    <v>9</v>
    <v>Finance</v>
    <v>5</v>
    <v>52.805</v>
    <v>32.950000000000003</v>
    <v>0.114</v>
    <v>-0.61</v>
    <v>1.493E-3</v>
    <v>-1.7883E-2</v>
    <v>0.05</v>
    <v>USD</v>
    <v>The Campbell's Company, formerly Campbell Soup Company, provides affordable food and beverages. The Company is focused on brand powerhouse, across two divisions: Meals &amp; Beverages and Snacks. The Company’s portfolio of approximately 16 brands includes Campbell’s, Cape Cod, Chunky, Goldfish, Kettle Brand, Lance, Late July, Pace, Pacific Foods, Pepperidge Farm, Prego, Rao’s, Snack Factory Pretzel Crisps, Snyder’s of Hanover, Swanson and V8. It offers nutritious, convenient food for Canadian families. Its North American Foodservice division offers food, recipes, and tailored solutions for a wide range of segments, including healthcare facilities, restaurants and specialty coffee shops, schools, vending and micro-markets, and lodging throughout North America. Pacific Foods is a producer of organic broth and soup. Offering a wide range of tasty organic and plant-based options, soups include Creamy Roasted Red Pepper &amp; Tomato and new ready-to-serve canned soups.</v>
    <v>14400</v>
    <v>Nasdaq Stock Market</v>
    <v>XNAS</v>
    <v>XNAS</v>
    <v>Campbell Pl, CAMDEN, NJ, 08103 US</v>
    <v>34.06</v>
    <v>Food &amp; Tobacco</v>
    <v>Stock</v>
    <v>45800.999384733594</v>
    <v>750</v>
    <v>32.950000000000003</v>
    <v>9989093000</v>
    <v>THE CAMPBELL'S COMPANY</v>
    <v>THE CAMPBELL'S COMPANY</v>
    <v>34.049999999999997</v>
    <v>19.647400000000001</v>
    <v>34.11</v>
    <v>33.5</v>
    <v>33.549999999999997</v>
    <v>298181900</v>
    <v>CPB</v>
    <v>THE CAMPBELL'S COMPANY (XNAS:CPB)</v>
    <v>5981163</v>
    <v>2737789</v>
    <v>1922</v>
  </rv>
  <rv s="4">
    <v>751</v>
  </rv>
  <rv s="0">
    <v>https://www.bing.com/financeapi/forcetrigger?t=a1x7oc&amp;q=XNYS%3aLW&amp;form=skydnc</v>
    <v>Learn more on Bing</v>
  </rv>
  <rv s="5">
    <v>en-CA</v>
    <v>a1x7oc</v>
    <v>268435456</v>
    <v>1</v>
    <v>Powered by Refinitiv</v>
    <v>7</v>
    <v>LAMB WESTON HOLDINGS, INC. (XNYS:LW)</v>
    <v>8</v>
    <v>9</v>
    <v>Finance</v>
    <v>5</v>
    <v>89.51</v>
    <v>47.9</v>
    <v>0.45100000000000001</v>
    <v>-0.46</v>
    <v>1.2856000000000001E-2</v>
    <v>-9.0159999999999997E-3</v>
    <v>0.65</v>
    <v>USD</v>
    <v>Lamb Weston Holdings, Inc. is a global producer, distributor, and marketer of value-added frozen potato products. The Company is a supplier of frozen potato, sweet potato, appetizer and vegetable products to restaurants and retailers around the globe. The Company’s segments include North America and International. The Company’s frozen potato products are sold in North America and international markets generally to North American-based restaurant chains and international customers, comprised of global and regional quick service and full-service restaurant chains, foodservice distributors, and retailers. Its product portfolio includes frozen potatoes and appetizers sold under the Lamb Weston brand, as well as many customer labels. The Company’s product categories include classic fries, extra crispy fries, sweet potatoes, and other products. Its recipes include appetizers, desserts, dips, sauces and seasonings, entree, salad, side dishes, and topped and loaded.</v>
    <v>10700</v>
    <v>New York Stock Exchange</v>
    <v>XNYS</v>
    <v>XNYS</v>
    <v>599 S Rivershore Ln, EAGLE, ID, 83616-4979 US</v>
    <v>51.2</v>
    <v>Food &amp; Tobacco</v>
    <v>Stock</v>
    <v>45800.958333356248</v>
    <v>753</v>
    <v>49.96</v>
    <v>7134806000</v>
    <v>LAMB WESTON HOLDINGS, INC.</v>
    <v>LAMB WESTON HOLDINGS, INC.</v>
    <v>50.75</v>
    <v>20.004200000000001</v>
    <v>51.02</v>
    <v>50.56</v>
    <v>51.21</v>
    <v>141115600</v>
    <v>LW</v>
    <v>LAMB WESTON HOLDINGS, INC. (XNYS:LW)</v>
    <v>1911811</v>
    <v>1638388</v>
    <v>2016</v>
  </rv>
  <rv s="4">
    <v>754</v>
  </rv>
  <rv s="0">
    <v>https://www.bing.com/financeapi/forcetrigger?t=a24xww&amp;q=XNYS%3aUNP&amp;form=skydnc</v>
    <v>Learn more on Bing</v>
  </rv>
  <rv s="5">
    <v>en-CA</v>
    <v>a24xww</v>
    <v>268435456</v>
    <v>1</v>
    <v>Powered by Refinitiv</v>
    <v>7</v>
    <v>UNION PACIFIC CORPORATION (XNYS:UNP)</v>
    <v>8</v>
    <v>9</v>
    <v>Finance</v>
    <v>5</v>
    <v>258.07</v>
    <v>204.66</v>
    <v>1.0608</v>
    <v>-0.76</v>
    <v>-7.8340000000000007E-3</v>
    <v>-3.4100000000000003E-3</v>
    <v>-1.74</v>
    <v>USD</v>
    <v>Union Pacific Corporation, through its principal operating company, Union Pacific Railroad Company, connects over 23 states in the western two-thirds of the country by rail, providing a critical link in the global supply chain. It maintains coordinated schedules with other rail carriers to move freight to and from the Atlantic Coast, the Pacific Coast, the Southeast, the Southwest, Canada, and Mexico. The railroad’s diversified business mix includes bulk, industrial, and premium. Its Bulk shipments consist of grain and grain products, fertilizer, food and refrigerated, and coal and renewables. The Industrial shipments consist of several categories, including construction, industrial chemicals, plastics, forest products, specialized products (primarily waste, salt, and roofing), metals and ores, petroleum, liquid petroleum gases (LPG), soda ash, and sand. Its Premium shipments include finished automobiles, automotive parts, and merchandise in intermodal containers.</v>
    <v>30146</v>
    <v>New York Stock Exchange</v>
    <v>XNYS</v>
    <v>XNYS</v>
    <v>1400 Douglas Street, OMAHA, NE, 68179 US</v>
    <v>223.01</v>
    <v>Freight &amp; Logistics Services</v>
    <v>Stock</v>
    <v>45800.995943541406</v>
    <v>756</v>
    <v>220.01</v>
    <v>132705300000</v>
    <v>UNION PACIFIC CORPORATION</v>
    <v>UNION PACIFIC CORPORATION</v>
    <v>220.12</v>
    <v>20.079599999999999</v>
    <v>222.87</v>
    <v>222.11</v>
    <v>220.37</v>
    <v>597475600</v>
    <v>UNP</v>
    <v>UNION PACIFIC CORPORATION (XNYS:UNP)</v>
    <v>3228308</v>
    <v>3144659</v>
    <v>1969</v>
  </rv>
  <rv s="4">
    <v>757</v>
  </rv>
  <rv s="0">
    <v>https://www.bing.com/financeapi/forcetrigger?t=a1qga2&amp;q=XNAS%3aCSX&amp;form=skydnc</v>
    <v>Learn more on Bing</v>
  </rv>
  <rv s="5">
    <v>en-CA</v>
    <v>a1qga2</v>
    <v>268435456</v>
    <v>1</v>
    <v>Powered by Refinitiv</v>
    <v>7</v>
    <v>CSX Corporation (XNAS:CSX)</v>
    <v>8</v>
    <v>9</v>
    <v>Finance</v>
    <v>5</v>
    <v>37.1</v>
    <v>26.218399999999999</v>
    <v>1.2242</v>
    <v>0.18</v>
    <v>3.212E-4</v>
    <v>5.875E-3</v>
    <v>9.9000000000000008E-3</v>
    <v>USD</v>
    <v>CSX Corporation is a transportation company. The Company provides rail, intermodal and rail-to-truck transload services and solutions to customers across an array of markets, including energy, industrial, construction, agricultural and consumer products. It provides rail-based freight transportation services, including traditional rail service, the transport of intermodal containers and trailers, as well as other transportation services such as rail-to-truck transfers and bulk commodity operations. Through its subsidiary, CSX Transportation, Inc. (CSXT), it provides a link to the transportation supply chain through its approximately 20,000 route-mile rail network and serves major population centers in 26 states east of the Mississippi River, the District of Columbia and the Canadian provinces of Ontario and Quebec. CSXT is also engaged in real estate sales, leasing, acquisition and management and development activities. It serves merchandise, intermodal, coal, and trucking businesses.</v>
    <v>23400</v>
    <v>Nasdaq Stock Market</v>
    <v>XNAS</v>
    <v>XNAS</v>
    <v>500 Water Street, 15th Floor, JACKSONVILLE, FL, 32202 US</v>
    <v>30.96</v>
    <v>Freight &amp; Logistics Services</v>
    <v>Stock</v>
    <v>45800.9866253125</v>
    <v>759</v>
    <v>30.17</v>
    <v>57896790000</v>
    <v>CSX Corporation</v>
    <v>CSX Corporation</v>
    <v>30.26</v>
    <v>18.260100000000001</v>
    <v>30.64</v>
    <v>30.82</v>
    <v>30.829899999999999</v>
    <v>1878546000</v>
    <v>CSX</v>
    <v>CSX Corporation (XNAS:CSX)</v>
    <v>21149214</v>
    <v>14481280</v>
    <v>1978</v>
  </rv>
  <rv s="4">
    <v>760</v>
  </rv>
  <rv s="0">
    <v>https://www.bing.com/financeapi/forcetrigger?t=a1sqr7&amp;q=XNYS%3aFDX&amp;form=skydnc</v>
    <v>Learn more on Bing</v>
  </rv>
  <rv s="5">
    <v>en-CA</v>
    <v>a1sqr7</v>
    <v>268435456</v>
    <v>1</v>
    <v>Powered by Refinitiv</v>
    <v>7</v>
    <v>FEDEX CORPORATION (XNYS:FDX)</v>
    <v>8</v>
    <v>9</v>
    <v>Finance</v>
    <v>5</v>
    <v>313.83999999999997</v>
    <v>194.29499999999999</v>
    <v>1.3763000000000001</v>
    <v>-2.2000000000000002</v>
    <v>-4.6169999999999993E-5</v>
    <v>-1.0054E-2</v>
    <v>-0.01</v>
    <v>USD</v>
    <v>FedEx Corporation provides customers and businesses with a portfolio of transportation, e-commerce, and business services. The Company offers integrated business solutions utilizing its flexible and efficient global network. Its segments include FedEx Express, FedEx Ground, FedEx Freight, and FedEx Services. FedEx Express segment includes express transportation, small-package ground delivery, and freight transportation. FedEx Ground segment is a provider of small-package ground delivery services. It provides dependable business-to-business delivery, and convenient residential service through FedEx Home Delivery and FedEx Ground Economy. FedEx Freight segment provides less-than-truckload freight services with coverage throughout the United Services, Canada, Mexico, Puerto Rico, and to the United States Virgin Islands. The FedEx Services segment provides sales, marketing, information technology, communications, customer service, technical support, and billing and collection services.</v>
    <v>306000</v>
    <v>New York Stock Exchange</v>
    <v>XNYS</v>
    <v>XNYS</v>
    <v>942 South Shady Grove Road, MEMPHIS, TN, 38120 US</v>
    <v>218.03</v>
    <v>Freight &amp; Logistics Services</v>
    <v>Stock</v>
    <v>45800.999977731248</v>
    <v>762</v>
    <v>214.35</v>
    <v>51899520000</v>
    <v>FEDEX CORPORATION</v>
    <v>FEDEX CORPORATION</v>
    <v>214.42</v>
    <v>13.7385</v>
    <v>218.81</v>
    <v>216.61</v>
    <v>216.6</v>
    <v>239598900</v>
    <v>FDX</v>
    <v>FEDEX CORPORATION (XNYS:FDX)</v>
    <v>1496306</v>
    <v>1667381</v>
    <v>1997</v>
  </rv>
  <rv s="4">
    <v>763</v>
  </rv>
  <rv s="0">
    <v>https://www.bing.com/financeapi/forcetrigger?t=a1yq5r&amp;q=XNYS%3aNSC&amp;form=skydnc</v>
    <v>Learn more on Bing</v>
  </rv>
  <rv s="5">
    <v>en-CA</v>
    <v>a1yq5r</v>
    <v>268435456</v>
    <v>1</v>
    <v>Powered by Refinitiv</v>
    <v>7</v>
    <v>NORFOLK SOUTHERN CORPORATION (XNYS:NSC)</v>
    <v>8</v>
    <v>9</v>
    <v>Finance</v>
    <v>5</v>
    <v>277.60000000000002</v>
    <v>201.63</v>
    <v>1.3017000000000001</v>
    <v>0.38</v>
    <v>-8.3330000000000003E-5</v>
    <v>1.586E-3</v>
    <v>-0.02</v>
    <v>USD</v>
    <v>Norfolk Southern Corporation is a holding company engaged in the rail transportation business. The Company is engaged in the rail transportation of raw materials, intermediate products, and finished goods in the Southeast, East, and Midwest and, via interchange with rail carriers, to and from the rest of the United States. It also transports overseas freight through several Atlantic and Gulf Coast ports. It offers an intermodal network in the eastern half of the United States. Its railroad operations system reaches various manufacturing plants, electric generating facilities, mines, distribution centers and transload facilities. It serves various industries such as agriculture, forest and consumer products, automotive, chemicals, and metals and construction. Its coal franchise supports the electric generation market, directly serving over 18 coal-fired power plants, as well as the export, domestic metallurgical, and industrial markets, through direct rail and river, lake, and coastal.</v>
    <v>19600</v>
    <v>New York Stock Exchange</v>
    <v>XNYS</v>
    <v>XNYS</v>
    <v>650 West Peachtreee Street NW, ATLANTA, GA, 30308-1925 US</v>
    <v>240.51</v>
    <v>Freight &amp; Logistics Services</v>
    <v>Stock</v>
    <v>45800.976281122654</v>
    <v>765</v>
    <v>236.37</v>
    <v>54110950000</v>
    <v>NORFOLK SOUTHERN CORPORATION</v>
    <v>NORFOLK SOUTHERN CORPORATION</v>
    <v>236.37</v>
    <v>16.370200000000001</v>
    <v>239.64</v>
    <v>240.02</v>
    <v>240</v>
    <v>225443500</v>
    <v>NSC</v>
    <v>NORFOLK SOUTHERN CORPORATION (XNYS:NSC)</v>
    <v>1414594</v>
    <v>1245021</v>
    <v>1980</v>
  </rv>
  <rv s="4">
    <v>766</v>
  </rv>
  <rv s="0">
    <v>https://www.bing.com/financeapi/forcetrigger?t=a1z3h7&amp;q=XNAS%3aODFL&amp;form=skydnc</v>
    <v>Learn more on Bing</v>
  </rv>
  <rv s="5">
    <v>en-CA</v>
    <v>a1z3h7</v>
    <v>268435456</v>
    <v>1</v>
    <v>Powered by Refinitiv</v>
    <v>7</v>
    <v>OLD DOMINION FREIGHT LINE, INC. (XNAS:ODFL)</v>
    <v>8</v>
    <v>9</v>
    <v>Finance</v>
    <v>5</v>
    <v>233.26</v>
    <v>144.9</v>
    <v>1.2837000000000001</v>
    <v>-2.04</v>
    <v>-1.8570000000000001E-3</v>
    <v>-1.2468999999999999E-2</v>
    <v>-0.3</v>
    <v>USD</v>
    <v>Old Dominion Freight Line, Inc. is a less-than-truckload (LTL) motor carrier. The Company provides regional, inter-regional and national LTL services through a single integrated, union-free organization. Its service offerings, which include expedited transportation, are provided through an expansive network of service centers located throughout the continental United States. It offers a range of value-added services including container drayage, truckload brokerage and supply chain consulting. It operates approximately 261 service center locations, of which it owns 239 and leased 22. Its service centers are responsible for the pickup and delivery of freight within their local service area. Its systems allow it to offer its customers access to information, such as freight tracking, shipping documents, rate quotes, rate databases and account activity. Its integrated systems and customer service department provide its customers with a single point of contact to access information.</v>
    <v>21895</v>
    <v>Nasdaq Stock Market</v>
    <v>XNAS</v>
    <v>XNAS</v>
    <v>500 Old Dominion Way, THOMASVILLE, NC, 27360 US</v>
    <v>162.65</v>
    <v>Freight &amp; Logistics Services</v>
    <v>Stock</v>
    <v>45800.936832025</v>
    <v>768</v>
    <v>158.5701</v>
    <v>34141730000</v>
    <v>OLD DOMINION FREIGHT LINE, INC.</v>
    <v>OLD DOMINION FREIGHT LINE, INC.</v>
    <v>159.66999999999999</v>
    <v>30.668600000000001</v>
    <v>163.6</v>
    <v>161.56</v>
    <v>161.26</v>
    <v>211325400</v>
    <v>ODFL</v>
    <v>OLD DOMINION FREIGHT LINE, INC. (XNAS:ODFL)</v>
    <v>896068</v>
    <v>1990805</v>
    <v>1950</v>
  </rv>
  <rv s="4">
    <v>769</v>
  </rv>
  <rv s="0">
    <v>https://www.bing.com/financeapi/forcetrigger?t=a1sicw&amp;q=XNAS%3aEXPD&amp;form=skydnc</v>
    <v>Learn more on Bing</v>
  </rv>
  <rv s="5">
    <v>en-CA</v>
    <v>a1sicw</v>
    <v>268435456</v>
    <v>1</v>
    <v>Powered by Refinitiv</v>
    <v>7</v>
    <v>EXPEDITORS INTERNATIONAL OF WASHINGTON, INC (XNYS:EXPD)</v>
    <v>8</v>
    <v>9</v>
    <v>Finance</v>
    <v>5</v>
    <v>131.59</v>
    <v>100.47</v>
    <v>1.0764</v>
    <v>-1.23</v>
    <v>-1.601E-3</v>
    <v>-1.0819E-2</v>
    <v>-0.18</v>
    <v>USD</v>
    <v>Expeditors International of Washington, Inc. is a global logistics company. The Company’s services include consolidation or forwarding of air and ocean freight, customs brokerage, vendor consolidation, cargo insurance, time-definite transportation, order management, warehousing and distribution and customized logistics solutions. The Company’s primary services include airfreight services, ocean freight and ocean services, and customs brokerage and other services. It provides a full suite of global logistics services, offering customers access to an international network of people and integrated information systems to support the movement and strategic positioning of goods. As a third-party logistics provider, it purchases cargo space from carriers on a volume basis and resells that space to its customers. In addition, its Project Cargo unit handles special project shipments that move via a single method or combination of air, ocean, and/or ground transportation.</v>
    <v>18400</v>
    <v>New York Stock Exchange</v>
    <v>XNYS</v>
    <v>XNYS</v>
    <v>Sterling Plaza 2, 3Rd Floor, 3545 Factoria Blvd. Se, BELLEVUE, WA, 98006 US</v>
    <v>113.22</v>
    <v>Freight &amp; Logistics Services</v>
    <v>Stock</v>
    <v>45800.958333367969</v>
    <v>771</v>
    <v>110.82</v>
    <v>15401180000</v>
    <v>EXPEDITORS INTERNATIONAL OF WASHINGTON, INC</v>
    <v>EXPEDITORS INTERNATIONAL OF WASHINGTON, INC</v>
    <v>111.33</v>
    <v>18.876899999999999</v>
    <v>113.69</v>
    <v>112.46</v>
    <v>112.28</v>
    <v>136948100</v>
    <v>EXPD</v>
    <v>EXPEDITORS INTERNATIONAL OF WASHINGTON, INC (XNYS:EXPD)</v>
    <v>1102868</v>
    <v>1462181</v>
    <v>1979</v>
  </rv>
  <rv s="4">
    <v>772</v>
  </rv>
  <rv s="0">
    <v>https://www.bing.com/financeapi/forcetrigger?t=a1w1rw&amp;q=XNAS%3aJBHT&amp;form=skydnc</v>
    <v>Learn more on Bing</v>
  </rv>
  <rv s="5">
    <v>en-CA</v>
    <v>a1w1rw</v>
    <v>268435456</v>
    <v>1</v>
    <v>Powered by Refinitiv</v>
    <v>7</v>
    <v>J. B. HUNT TRANSPORT SERVICES, INC. (XNAS:JBHT)</v>
    <v>8</v>
    <v>9</v>
    <v>Finance</v>
    <v>5</v>
    <v>200.4</v>
    <v>122.79</v>
    <v>1.2995000000000001</v>
    <v>-1.61</v>
    <v>-1.0260999999999999E-2</v>
    <v>-1.158E-2</v>
    <v>-1.41</v>
    <v>USD</v>
    <v>J.B. Hunt Transport Services, Inc. is a surface transportation, delivery, and logistics company in North America. The Company, through its wholly owned subsidiaries, provides a range of transportation, brokerage, and delivery services to a diverse group of customers and consumers throughout the continental United States, Canada, and Mexico. It operates through five segments: Intermodal (JBI), Dedicated Contract Services (DCS), Integrated Capacity Solutions (ICS), Final Mile Services (FMS) and Truckload (JBT). JBI segment includes freight that is transported by rail over at least some portion of the movement and also includes certain repositioning truck freight moved by JBI equipment or third-party carriers. DCS segment focuses on private fleet conversion and creation of replenishment and specialized equipment. ICS segment provides non-asset and asset-light transportation solutions to customers through relationships with third-party carriers and integration with Company-owned equipment.</v>
    <v>33646</v>
    <v>Nasdaq Stock Market</v>
    <v>XNAS</v>
    <v>XNAS</v>
    <v>615 Jb Hunt Corporate Dr, Po Box 130, LOWELL, AR, 72745 US</v>
    <v>138.19</v>
    <v>Freight &amp; Logistics Services</v>
    <v>Stock</v>
    <v>45800.967453101563</v>
    <v>774</v>
    <v>136.42500000000001</v>
    <v>13631380000</v>
    <v>J. B. HUNT TRANSPORT SERVICES, INC.</v>
    <v>J. B. HUNT TRANSPORT SERVICES, INC.</v>
    <v>136.47</v>
    <v>25.244599999999998</v>
    <v>139.03</v>
    <v>137.41999999999999</v>
    <v>136.01</v>
    <v>99195000</v>
    <v>JBHT</v>
    <v>J. B. HUNT TRANSPORT SERVICES, INC. (XNAS:JBHT)</v>
    <v>793108</v>
    <v>1421437</v>
    <v>1961</v>
  </rv>
  <rv s="4">
    <v>775</v>
  </rv>
  <rv s="0">
    <v>https://www.bing.com/financeapi/forcetrigger?t=a1pnu2&amp;q=XNAS%3aCHRW&amp;form=skydnc</v>
    <v>Learn more on Bing</v>
  </rv>
  <rv s="5">
    <v>en-CA</v>
    <v>a1pnu2</v>
    <v>268435456</v>
    <v>1</v>
    <v>Powered by Refinitiv</v>
    <v>7</v>
    <v>C.H. ROBINSON WORLDWIDE, INC. (XNAS:CHRW)</v>
    <v>8</v>
    <v>9</v>
    <v>Finance</v>
    <v>5</v>
    <v>114.82</v>
    <v>82.16</v>
    <v>0.90569999999999995</v>
    <v>-0.77</v>
    <v>-5.117E-3</v>
    <v>-7.977999999999999E-3</v>
    <v>-0.49</v>
    <v>USD</v>
    <v>C.H. Robinson Worldwide, Inc. is a global logistics provider. The Company's segments include North American Surface Transportation (NAST), Global Forwarding, and All Other and Corporate. NAST segment provides transportation and logistics services across North America through a network of offices in the United States, Canada, and Mexico. NAST segment’s services include truckload and less than truckload transportation brokerage services. Global Forwarding segment provides transportation and logistics services through an international network of offices in North America, Europe, Asia, Oceania, South America, and the Middle East and also contracts with independent agents worldwide. Global Forwarding segment’s services include ocean freight services, air freight services, and customs brokerage. All Other and Corporate segment includes Robinson Fresh and Managed Solutions. Robinson Fresh provides sourcing services. In its Managed Solutions business, it often acts as the shipper’s agent.</v>
    <v>13347</v>
    <v>Nasdaq Stock Market</v>
    <v>XNAS</v>
    <v>XNAS</v>
    <v>14701 Charlson Rd, EDEN PRAIRIE, MN, 55347 US</v>
    <v>96.18</v>
    <v>Freight &amp; Logistics Services</v>
    <v>Stock</v>
    <v>45800.901281839841</v>
    <v>777</v>
    <v>95.3</v>
    <v>11368460000</v>
    <v>C.H. ROBINSON WORLDWIDE, INC.</v>
    <v>C.H. ROBINSON WORLDWIDE, INC.</v>
    <v>95.5</v>
    <v>23.057200000000002</v>
    <v>96.52</v>
    <v>95.75</v>
    <v>95.26</v>
    <v>118730600</v>
    <v>CHRW</v>
    <v>C.H. ROBINSON WORLDWIDE, INC. (XNAS:CHRW)</v>
    <v>938668</v>
    <v>1487531</v>
    <v>1997</v>
  </rv>
  <rv s="4">
    <v>778</v>
  </rv>
  <rv s="0">
    <v>https://www.bing.com/financeapi/forcetrigger?t=a1mrar&amp;q=XNYS%3aABT&amp;form=skydnc</v>
    <v>Learn more on Bing</v>
  </rv>
  <rv s="5">
    <v>en-CA</v>
    <v>a1mrar</v>
    <v>268435456</v>
    <v>1</v>
    <v>Powered by Refinitiv</v>
    <v>7</v>
    <v>ABBOTT LABORATORIES (XNYS:ABT)</v>
    <v>8</v>
    <v>9</v>
    <v>Finance</v>
    <v>5</v>
    <v>141.22999999999999</v>
    <v>99.71</v>
    <v>0.73709999999999998</v>
    <v>-0.2</v>
    <v>3.4269999999999999E-3</v>
    <v>-1.5210000000000002E-3</v>
    <v>0.45</v>
    <v>USD</v>
    <v>Abbott Laboratories is a global healthcare company. The Company is engaged in the discovery, development, manufacture, and sale of a broad and diversified line of health care products. The Company operates through four segments: Established Pharmaceutical Products, Diagnostic Products, Nutritional Products, and Medical Devices. The Established Pharmaceutical Products segment is engaged in the international sales of a broad line of branded generic pharmaceutical products. The Diagnostic Products segment is engaged in the worldwide sales of diagnostic systems and tests for blood banks, hospitals, commercial laboratories, and alternate-care testing sites. The Nutritional Products segment is involved in the worldwide sales of a broad line of adult and pediatric nutritional products. The Medical Devices segment includes the worldwide sales of rhythm management, electrophysiology, heart failure, vascular, structural heart, neuromodulation, and diabetes care products.</v>
    <v>114000</v>
    <v>New York Stock Exchange</v>
    <v>XNYS</v>
    <v>XNYS</v>
    <v>100 Abbott Park Road, Abbot Park, ABBOTT PARK, IL, 60064-3500 US</v>
    <v>132.16999999999999</v>
    <v>Healthcare Equipment &amp; Supplies</v>
    <v>Stock</v>
    <v>45800.999936978907</v>
    <v>780</v>
    <v>130.43</v>
    <v>228440500000</v>
    <v>ABBOTT LABORATORIES</v>
    <v>ABBOTT LABORATORIES</v>
    <v>131.68</v>
    <v>16.997399999999999</v>
    <v>131.5</v>
    <v>131.30000000000001</v>
    <v>131.75</v>
    <v>1739836000</v>
    <v>ABT</v>
    <v>ABBOTT LABORATORIES (XNYS:ABT)</v>
    <v>6145051</v>
    <v>6592799</v>
    <v>1900</v>
  </rv>
  <rv s="4">
    <v>781</v>
  </rv>
  <rv s="0">
    <v>https://www.bing.com/financeapi/forcetrigger?t=a24bsm&amp;q=XNYS%3aTMO&amp;form=skydnc</v>
    <v>Learn more on Bing</v>
  </rv>
  <rv s="5">
    <v>en-CA</v>
    <v>a24bsm</v>
    <v>268435456</v>
    <v>1</v>
    <v>Powered by Refinitiv</v>
    <v>7</v>
    <v>THERMO FISHER SCIENTIFIC INCORPORATED (XNYS:TMO)</v>
    <v>8</v>
    <v>9</v>
    <v>Finance</v>
    <v>5</v>
    <v>627.88</v>
    <v>390.495</v>
    <v>0.79600000000000004</v>
    <v>-6.82</v>
    <v>2.7940000000000002E-4</v>
    <v>-1.703E-2</v>
    <v>0.11</v>
    <v>USD</v>
    <v>Thermo Fisher Scientific Inc. is engaged in accelerating life sciences research, solving complex analytical challenges, increasing laboratory productivity, and improving patient health through diagnostics and the development and manufacture of life-changing therapies. Through its Life Sciences Solutions segment, the Company provides a portfolio of reagents, instruments and consumables used in biological and medical research, discovery and production of new drugs and vaccines as well as diagnosis of infection and disease. Through its Analytical Instruments segment, the Company provides an offering of instruments and the supporting consumables, software and services that are used for a range of applications. The Company’s Specialty Diagnostics segment offers a range of diagnostic test kits, reagents, culture media, instruments and associated products to serve customers in healthcare, clinical, pharmaceutical, industrial, and food safety laboratories.</v>
    <v>125000</v>
    <v>New York Stock Exchange</v>
    <v>XNYS</v>
    <v>XNYS</v>
    <v>168 Third Avenue, WALTHAM, MA, 02451 US</v>
    <v>396.34</v>
    <v>Healthcare Equipment &amp; Supplies</v>
    <v>Stock</v>
    <v>45800.996162488278</v>
    <v>783</v>
    <v>390.66</v>
    <v>148604300000</v>
    <v>THERMO FISHER SCIENTIFIC INCORPORATED</v>
    <v>THERMO FISHER SCIENTIFIC INCORPORATED</v>
    <v>393.78</v>
    <v>23.501100000000001</v>
    <v>400.48</v>
    <v>393.66</v>
    <v>393.77</v>
    <v>377493900</v>
    <v>TMO</v>
    <v>THERMO FISHER SCIENTIFIC INCORPORATED (XNYS:TMO)</v>
    <v>2318259</v>
    <v>2919991</v>
    <v>1960</v>
  </rv>
  <rv s="4">
    <v>784</v>
  </rv>
  <rv s="0">
    <v>https://www.bing.com/financeapi/forcetrigger?t=a1vt77&amp;q=XNAS%3aISRG&amp;form=skydnc</v>
    <v>Learn more on Bing</v>
  </rv>
  <rv s="5">
    <v>en-CA</v>
    <v>a1vt77</v>
    <v>268435456</v>
    <v>1</v>
    <v>Powered by Refinitiv</v>
    <v>7</v>
    <v>INTUITIVE SURGICAL, INC. (XNAS:ISRG)</v>
    <v>8</v>
    <v>9</v>
    <v>Finance</v>
    <v>5</v>
    <v>616</v>
    <v>396.15100000000001</v>
    <v>1.6805000000000001</v>
    <v>-3.13</v>
    <v>8.5260000000000002E-4</v>
    <v>-5.7679999999999997E-3</v>
    <v>0.46</v>
    <v>USD</v>
    <v>Intuitive Surgical, Inc. develops, manufactures, and markets da Vinci surgical systems and the Ion endoluminal system. The Company specializes in invasive care and robotic-assisted surgery. Its technologies include the da Vinci surgical systems and the Ion endoluminal system. The da Vinci surgical system is designed to enable surgeons to perform a range of surgical procedures within its targeted general surgery, urologic, gynecologic, cardiothoracic, and head and neck specialties and consists of a surgeon's console or consoles, a patient-side cart, and a high-performance vision system. The Ion endoluminal system is a flexible, robotic-assisted, catheter-based platform for which the cleared indication is minimally invasive biopsies in the lung and consists of a system cart, a controller, a catheter, and a vision probe. Its Ion system extends its commercial offering beyond surgery into diagnostic and endoluminal procedures.</v>
    <v>15638</v>
    <v>Nasdaq Stock Market</v>
    <v>XNAS</v>
    <v>XNAS</v>
    <v>1020 Kifer Road, SUNNYVALE, CA, 94086 US</v>
    <v>542.06629999999996</v>
    <v>Healthcare Equipment &amp; Supplies</v>
    <v>Stock</v>
    <v>45800.999696620311</v>
    <v>786</v>
    <v>529.15</v>
    <v>193381000000</v>
    <v>INTUITIVE SURGICAL, INC.</v>
    <v>INTUITIVE SURGICAL, INC.</v>
    <v>535.5</v>
    <v>79.594300000000004</v>
    <v>542.66999999999996</v>
    <v>539.54</v>
    <v>540</v>
    <v>358418200</v>
    <v>ISRG</v>
    <v>INTUITIVE SURGICAL, INC. (XNAS:ISRG)</v>
    <v>1138633</v>
    <v>1705557</v>
    <v>1995</v>
  </rv>
  <rv s="4">
    <v>787</v>
  </rv>
  <rv s="0">
    <v>https://www.bing.com/financeapi/forcetrigger?t=a1oxur&amp;q=XNYS%3aBSX&amp;form=skydnc</v>
    <v>Learn more on Bing</v>
  </rv>
  <rv s="5">
    <v>en-CA</v>
    <v>a1oxur</v>
    <v>268435456</v>
    <v>1</v>
    <v>Powered by Refinitiv</v>
    <v>7</v>
    <v>BOSTON SCIENTIFIC CORPORATION (XNYS:BSX)</v>
    <v>8</v>
    <v>9</v>
    <v>Finance</v>
    <v>5</v>
    <v>107.17</v>
    <v>71.88</v>
    <v>0.68940000000000001</v>
    <v>0</v>
    <v>0</v>
    <v>0</v>
    <v>0</v>
    <v>USD</v>
    <v>Boston Scientific Corporation is a global developer, manufacturer and marketer of medical devices that are used in a range of interventional medical specialties. The Company's MedSurg segment includes Endoscopy, Urology, and Neuromodulation. Its Endoscopy business develops and manufactures devices to diagnose and treat a range of gastrointestinal conditions with less-invasive technologies. Its Urology business develops and manufactures devices to treat various urological conditions for both male and female anatomies, including kidney stones, benign prostatic hyperplasia, prostate cancer, erectile dysfunction, and incontinence. Its Neuromodulation business develops and manufactures devices to treat various neurological movement disorders and manage chronic pain. Its Cardiovascular segment includes Cardiology and Peripheral Interventions. The Cardiology includes interventional cardiology therapies, watchman, cardiac rhythm management, and electrophysiology.</v>
    <v>53000</v>
    <v>New York Stock Exchange</v>
    <v>XNYS</v>
    <v>XNYS</v>
    <v>300 Boston Scientific Way, MARLBOROUGH, MA, 01752-1234 US</v>
    <v>104.86499999999999</v>
    <v>Healthcare Equipment &amp; Supplies</v>
    <v>Stock</v>
    <v>45800.999668853903</v>
    <v>789</v>
    <v>103.58</v>
    <v>154602107000</v>
    <v>BOSTON SCIENTIFIC CORPORATION</v>
    <v>BOSTON SCIENTIFIC CORPORATION</v>
    <v>103.86</v>
    <v>76.601699999999994</v>
    <v>104.5</v>
    <v>104.5</v>
    <v>104.5</v>
    <v>1479446000</v>
    <v>BSX</v>
    <v>BOSTON SCIENTIFIC CORPORATION (XNYS:BSX)</v>
    <v>5205961</v>
    <v>7119031</v>
    <v>1979</v>
  </rv>
  <rv s="4">
    <v>790</v>
  </rv>
  <rv s="0">
    <v>https://www.bing.com/financeapi/forcetrigger?t=a1r1r7&amp;q=XNYS%3aDHR&amp;form=skydnc</v>
    <v>Learn more on Bing</v>
  </rv>
  <rv s="5">
    <v>en-CA</v>
    <v>a1r1r7</v>
    <v>268435456</v>
    <v>1</v>
    <v>Powered by Refinitiv</v>
    <v>7</v>
    <v>DANAHER CORPORATION (XNYS:DHR)</v>
    <v>8</v>
    <v>9</v>
    <v>Finance</v>
    <v>5</v>
    <v>281.7</v>
    <v>171</v>
    <v>0.78639999999999999</v>
    <v>-2.94</v>
    <v>1.3550000000000001E-3</v>
    <v>-1.5682000000000001E-2</v>
    <v>0.25</v>
    <v>USD</v>
    <v>Danaher Corporation is a global life sciences and diagnostics innovator. The Company operates through three segments: Biotechnology, Life Sciences and Diagnostics. The Biotechnology segment includes the bioprocessing and discovery and medical businesses and offers a broad range of equipment, consumables and services that are primarily used by customers to advance and accelerate the research, development, manufacture and delivery of biological medicines. The Life Sciences segment offers a broad range of instruments, consumables, services and software that are primarily used by customers to study the basic building blocks of life, including deoxyribonucleic acid (DNA) and ribonucleic acid (RNA), nucleic acid, proteins, metabolites and cells. The Diagnostics segment offers clinical instruments, consumables, software and services that hospitals, physicians’ offices, reference laboratories and other critical care settings use to diagnose disease and make treatment decisions.</v>
    <v>61000</v>
    <v>New York Stock Exchange</v>
    <v>XNYS</v>
    <v>XNYS</v>
    <v>2200 Pennsylvania Ave NW Ste 800W, WASHINGTON, DC, 20037-1701 US</v>
    <v>185.98500000000001</v>
    <v>Healthcare Equipment &amp; Supplies</v>
    <v>Stock</v>
    <v>45800.99997493047</v>
    <v>792</v>
    <v>183.05</v>
    <v>132069700000</v>
    <v>DANAHER CORPORATION</v>
    <v>DANAHER CORPORATION</v>
    <v>184.36</v>
    <v>36.363399999999999</v>
    <v>187.48</v>
    <v>184.54</v>
    <v>184.79</v>
    <v>715669600</v>
    <v>DHR</v>
    <v>DANAHER CORPORATION (XNYS:DHR)</v>
    <v>2814317</v>
    <v>4093452</v>
    <v>1986</v>
  </rv>
  <rv s="4">
    <v>793</v>
  </rv>
  <rv s="0">
    <v>https://www.bing.com/financeapi/forcetrigger?t=a23vdm&amp;q=XNYS%3aSYK&amp;form=skydnc</v>
    <v>Learn more on Bing</v>
  </rv>
  <rv s="5">
    <v>en-CA</v>
    <v>a23vdm</v>
    <v>268435456</v>
    <v>1</v>
    <v>Powered by Refinitiv</v>
    <v>7</v>
    <v>STRYKER CORPORATION (XNYS:SYK)</v>
    <v>8</v>
    <v>9</v>
    <v>Finance</v>
    <v>5</v>
    <v>406.19</v>
    <v>314.93</v>
    <v>0.92779999999999996</v>
    <v>-1.66</v>
    <v>-2.6290000000000003E-3</v>
    <v>-4.3880000000000004E-3</v>
    <v>-0.99</v>
    <v>USD</v>
    <v>Stryker Corporation is a medical technology company. The Company offers products and services in MedSurg, Neurotechnology and Orthopaedics that help improve patient and healthcare outcomes. Its segments include MedSurg and Neurotechnology and Orthopaedics. Its MedSurg products include surgical equipment, patient and caregiver safety technologies, and navigation systems (Instruments), endoscopic and communications systems (Endoscopy), and patient handling, emergency medical equipment, intensive care disposable products and clinical communication and artificial intelligence-assisted virtual care platform technology (Medical). Neurotechnology includes neurosurgical, neurovascular and craniomaxillofacial implant products. Its Orthopaedics products primarily include implants used in total joint replacements, such as hip, knee and shoulder, and trauma and extremities surgeries. The Company also offers solutions for venous thromboembolism clot removal without the use of thrombolytic drugs.</v>
    <v>53000</v>
    <v>New York Stock Exchange</v>
    <v>XNYS</v>
    <v>XNYS</v>
    <v>1941 STRYKER WAY, PORTAGE, MI, 49002 US</v>
    <v>379.53</v>
    <v>Healthcare Equipment &amp; Supplies</v>
    <v>Stock</v>
    <v>45800.988500971878</v>
    <v>795</v>
    <v>371.26499999999999</v>
    <v>143930900000</v>
    <v>STRYKER CORPORATION</v>
    <v>STRYKER CORPORATION</v>
    <v>375.55</v>
    <v>51.051200000000001</v>
    <v>378.28</v>
    <v>376.62</v>
    <v>375.63</v>
    <v>382164900</v>
    <v>SYK</v>
    <v>STRYKER CORPORATION (XNYS:SYK)</v>
    <v>1579806</v>
    <v>1408440</v>
    <v>1946</v>
  </rv>
  <rv s="4">
    <v>796</v>
  </rv>
  <rv s="0">
    <v>https://www.bing.com/financeapi/forcetrigger?t=a1xg3m&amp;q=XNYS%3aMDT&amp;form=skydnc</v>
    <v>Learn more on Bing</v>
  </rv>
  <rv s="5">
    <v>en-CA</v>
    <v>a1xg3m</v>
    <v>268435456</v>
    <v>1</v>
    <v>Powered by Refinitiv</v>
    <v>7</v>
    <v>MEDTRONIC PUBLIC LIMITED COMPANY (XNYS:MDT)</v>
    <v>8</v>
    <v>9</v>
    <v>Finance</v>
    <v>5</v>
    <v>96.25</v>
    <v>75.959999999999994</v>
    <v>0.81759999999999999</v>
    <v>-0.23</v>
    <v>3.8419999999999999E-3</v>
    <v>-2.843E-3</v>
    <v>0.31</v>
    <v>USD</v>
    <v>Medtronic Public Limited Company is an Ireland-based company, which provides healthcare technology solutions. The Company’s products category includes Advanced Surgical Technology; Cardiac Rhythm; Cardiovascular; Digestive &amp; Gastrointestinal; Ear, Nose &amp; Throat; General Surgery; Gynecological; Neurological; Oral &amp; Maxillofacial; Patient Monitoring; Renal Care; Respiratory; Spinal &amp; Orthopedic; Surgical Navigation &amp; Imaging; Urological; Product Manuals; Product Ordering &amp; Inquiries; and Product Performance &amp; Advisories. Its products include Cardiac Implantable Electronic Device (CIED) Stabilization, Aortic Stent Graft Products, CareLink Personal Therapy Management Software, CareLink Pro Therapy Management Software. Its services and solutions include Ambulatory Surgery Center Resources, Care Management Services, Digital Connectivity Information Technology (IT) Support, Equipment Services and Support, Innovation Lab, Medtronic Healthcare Consulting, and Office-Based Sinus Surgery.</v>
    <v>95000</v>
    <v>New York Stock Exchange</v>
    <v>XNYS</v>
    <v>XNYS</v>
    <v>Building Two Parkmore Business Park West, DUBLIN, H91 4K49 IE</v>
    <v>80.814999999999998</v>
    <v>Healthcare Equipment &amp; Supplies</v>
    <v>Stock</v>
    <v>45800.999995485938</v>
    <v>798</v>
    <v>79.930000000000007</v>
    <v>103475600000</v>
    <v>MEDTRONIC PUBLIC LIMITED COMPANY</v>
    <v>MEDTRONIC PUBLIC LIMITED COMPANY</v>
    <v>80.62</v>
    <v>22.386500000000002</v>
    <v>80.91</v>
    <v>80.680000000000007</v>
    <v>80.989999999999995</v>
    <v>1282543000</v>
    <v>MDT</v>
    <v>MEDTRONIC PUBLIC LIMITED COMPANY (XNYS:MDT)</v>
    <v>10571900</v>
    <v>6965629</v>
    <v>2014</v>
  </rv>
  <rv s="4">
    <v>799</v>
  </rv>
  <rv s="0">
    <v>https://www.bing.com/financeapi/forcetrigger?t=a1njmw&amp;q=XNYS%3aELV&amp;form=skydnc</v>
    <v>Learn more on Bing</v>
  </rv>
  <rv s="5">
    <v>en-CA</v>
    <v>a1njmw</v>
    <v>268435456</v>
    <v>1</v>
    <v>Powered by Refinitiv</v>
    <v>7</v>
    <v>ELEVANCE HEALTH, INC. (XNYS:ELV)</v>
    <v>8</v>
    <v>9</v>
    <v>Finance</v>
    <v>5</v>
    <v>567.26</v>
    <v>357.45</v>
    <v>0.62709999999999999</v>
    <v>-12.24</v>
    <v>8.6759999999999997E-3</v>
    <v>-3.1833E-2</v>
    <v>3.2299000000000002</v>
    <v>USD</v>
    <v>Elevance Health, Inc. is a health company. It operates as a health insurer in the United States. The Company operates through four segments: Health Benefits, CarelonRx, Carelon Services and Corporate &amp; Other. The Health Benefits segment offers a comprehensive suite of health plans and services to its Individual, Employer Group risk-based, Employer Group fee-based, BlueCard, Medicare, Medicaid and Federal Employee Program (FEP) members. The Health Benefits segment also offers health products on a full-risk basis. The CarelonRx segment includes its pharmacy services business. CarelonRx markets and offers pharmacy services to its affiliated health plan customers, as well as to external customers outside of the health plans. The Carelon Services segment integrates physical, behavioral, pharmacy, and social services by offering an array of healthcare-related services and capabilities to internal and external customers through its Carelon Health and Carelon Insights businesses.</v>
    <v>103158</v>
    <v>New York Stock Exchange</v>
    <v>XNYS</v>
    <v>XNYS</v>
    <v>220 Virginia Avenue, INDIANAPOLIS, IN, 46204 US</v>
    <v>386.29</v>
    <v>Healthcare Providers &amp; Services</v>
    <v>Stock</v>
    <v>45800.998947846878</v>
    <v>801</v>
    <v>368.75</v>
    <v>84108670000</v>
    <v>ELEVANCE HEALTH, INC.</v>
    <v>ELEVANCE HEALTH, INC.</v>
    <v>385.21</v>
    <v>15.000999999999999</v>
    <v>384.51</v>
    <v>372.27</v>
    <v>375.49990000000003</v>
    <v>225934600</v>
    <v>ELV</v>
    <v>ELEVANCE HEALTH, INC. (XNYS:ELV)</v>
    <v>2479635</v>
    <v>1731740</v>
    <v>2001</v>
  </rv>
  <rv s="4">
    <v>802</v>
  </rv>
  <rv s="0">
    <v>https://www.bing.com/financeapi/forcetrigger?t=a1pp5r&amp;q=XNYS%3aCI&amp;form=skydnc</v>
    <v>Learn more on Bing</v>
  </rv>
  <rv s="5">
    <v>en-CA</v>
    <v>a1pp5r</v>
    <v>268435456</v>
    <v>1</v>
    <v>Powered by Refinitiv</v>
    <v>7</v>
    <v>THE CIGNA GROUP (XNYS:CI)</v>
    <v>8</v>
    <v>9</v>
    <v>Finance</v>
    <v>5</v>
    <v>370.82499999999999</v>
    <v>262.03030000000001</v>
    <v>0.46379999999999999</v>
    <v>3.31</v>
    <v>3.1960000000000001E-3</v>
    <v>1.0586E-2</v>
    <v>1.01</v>
    <v>USD</v>
    <v>The Cigna Group is a global health company. The Company has two growth platforms: Evernorth Health Services and Cigna Healthcare. Evernorth Health Services includes its Pharmacy Benefit Services and Specialty and Care Services operating segments, which provide independent and coordinated health solutions and capabilities to enable the healthcare system to work better and help people live richer, healthier lives. Cigna Healthcare includes the U.S. Healthcare and International Health operating segments, which provide comprehensive medical plan services and coordinated solutions to clients and customers. Its Other Operations include corporate-owned life insurance (COLI), the Company's run-off operations and other non-strategic businesses. Specialty and Care Services provides specialty drugs for the treatment of complex and rare diseases, specialty distribution of pharmaceuticals and medical supplies, and clinical programs to help its clients.</v>
    <v>73500</v>
    <v>New York Stock Exchange</v>
    <v>XNYS</v>
    <v>XNYS</v>
    <v>900 Cottage Grove Road, BLOOMFIELD, CT, 06002 US</v>
    <v>316.58999999999997</v>
    <v>Healthcare Providers &amp; Services</v>
    <v>Stock</v>
    <v>45800.983091515627</v>
    <v>804</v>
    <v>310.51</v>
    <v>84414390000</v>
    <v>THE CIGNA GROUP</v>
    <v>THE CIGNA GROUP</v>
    <v>314.2</v>
    <v>17.3231</v>
    <v>312.68</v>
    <v>315.99</v>
    <v>317</v>
    <v>267142600</v>
    <v>CI</v>
    <v>THE CIGNA GROUP (XNYS:CI)</v>
    <v>1667846</v>
    <v>1810696</v>
    <v>2018</v>
  </rv>
  <rv s="4">
    <v>805</v>
  </rv>
  <rv s="0">
    <v>https://www.bing.com/financeapi/forcetrigger?t=a1qlnm&amp;q=XNYS%3aCVS&amp;form=skydnc</v>
    <v>Learn more on Bing</v>
  </rv>
  <rv s="5">
    <v>en-CA</v>
    <v>a1qlnm</v>
    <v>268435456</v>
    <v>1</v>
    <v>Powered by Refinitiv</v>
    <v>7</v>
    <v>CVS HEALTH CORPORATION (XNYS:CVS)</v>
    <v>8</v>
    <v>9</v>
    <v>Finance</v>
    <v>5</v>
    <v>72.510000000000005</v>
    <v>43.56</v>
    <v>0.56289999999999996</v>
    <v>0.61</v>
    <v>-4.9320000000000006E-4</v>
    <v>1.0129999999999998E-2</v>
    <v>-0.03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1 Cvs Dr, WOONSOCKET, RI, 02895-6146 US</v>
    <v>60.88</v>
    <v>Healthcare Providers &amp; Services</v>
    <v>Stock</v>
    <v>45800.992009803122</v>
    <v>807</v>
    <v>59.66</v>
    <v>76951130000</v>
    <v>CVS HEALTH CORPORATION</v>
    <v>CVS HEALTH CORPORATION</v>
    <v>60.62</v>
    <v>14.389099999999999</v>
    <v>60.22</v>
    <v>60.83</v>
    <v>60.8</v>
    <v>1265019000</v>
    <v>CVS</v>
    <v>CVS HEALTH CORPORATION (XNYS:CVS)</v>
    <v>8143085</v>
    <v>10877596</v>
    <v>1996</v>
  </rv>
  <rv s="4">
    <v>808</v>
  </rv>
  <rv s="0">
    <v>https://www.bing.com/financeapi/forcetrigger?t=a1ock2&amp;q=XNYS%3aBDX&amp;form=skydnc</v>
    <v>Learn more on Bing</v>
  </rv>
  <rv s="5">
    <v>en-CA</v>
    <v>a1ock2</v>
    <v>268435456</v>
    <v>1</v>
    <v>Powered by Refinitiv</v>
    <v>7</v>
    <v>BECTON, DICKINSON AND COMPANY (XNYS:BDX)</v>
    <v>8</v>
    <v>9</v>
    <v>Finance</v>
    <v>5</v>
    <v>251.98500000000001</v>
    <v>163.33000000000001</v>
    <v>0.2863</v>
    <v>-0.93</v>
    <v>-2.2170000000000002E-3</v>
    <v>-5.3969999999999999E-3</v>
    <v>-0.38</v>
    <v>USD</v>
    <v>Becton, Dickinson and Company is a global medical technology company. The Company is engaged in the development, manufacture and sale of a broad range of medical supplies, devices, laboratory equipment and diagnostic products used by healthcare institutions, physicians, life science researchers, clinical laboratories, and more. Its BD Medical segment produces an array of medical technologies and devices that are used to help improve healthcare delivery in a range of settings. The BD Medical segment consists of various business units, including medication delivery solutions, medication management solutions, advanced monitoring, and pharmaceutical systems. Its BD Life Sciences segment provides products for the collection and transport of diagnostics specimens, and instruments and reagent systems to detect a range of infectious diseases, healthcare-associated infections and cancers. Its BD Interventional segment provides vascular, urology, oncology and surgical specialty products.</v>
    <v>74000</v>
    <v>New York Stock Exchange</v>
    <v>XNYS</v>
    <v>XNYS</v>
    <v>One Becton Drive, FRANKLIN LAKES, NJ, 07417-1880 US</v>
    <v>172.16</v>
    <v>Healthcare Equipment &amp; Supplies</v>
    <v>Stock</v>
    <v>45800.96899517344</v>
    <v>810</v>
    <v>169.6</v>
    <v>49118780000</v>
    <v>BECTON, DICKINSON AND COMPANY</v>
    <v>BECTON, DICKINSON AND COMPANY</v>
    <v>170.51</v>
    <v>33.400300000000001</v>
    <v>172.31</v>
    <v>171.38</v>
    <v>171</v>
    <v>286607400</v>
    <v>BDX</v>
    <v>BECTON, DICKINSON AND COMPANY (XNYS:BDX)</v>
    <v>1950827</v>
    <v>3708825</v>
    <v>1906</v>
  </rv>
  <rv s="4">
    <v>811</v>
  </rv>
  <rv s="0">
    <v>https://www.bing.com/financeapi/forcetrigger?t=a1uhnm&amp;q=XNYS%3aHCA&amp;form=skydnc</v>
    <v>Learn more on Bing</v>
  </rv>
  <rv s="5">
    <v>en-CA</v>
    <v>a1uhnm</v>
    <v>268435456</v>
    <v>1</v>
    <v>Powered by Refinitiv</v>
    <v>7</v>
    <v>HCA HEALTHCARE, INC. (XNYS:HCA)</v>
    <v>8</v>
    <v>9</v>
    <v>Finance</v>
    <v>5</v>
    <v>417.14</v>
    <v>289.98</v>
    <v>1.4999</v>
    <v>-0.05</v>
    <v>-4.2220000000000001E-3</v>
    <v>-1.328E-4</v>
    <v>-1.59</v>
    <v>USD</v>
    <v>HCA Healthcare, Inc. is a health care services company. It owns, manages or operates hospitals, ambulatory surgery centers (ASCs), freestanding emergency care facilities, urgent care facilities, walk-in clinics, diagnostic and imaging centers, radiation and oncology therapy centers, comprehensive rehabilitation and physical therapy centers, hospices, and various other facilities. Its general, acute care hospitals provide a full range of services to accommodate such medical specialties as internal medicine, general surgery, cardiology, oncology, neurosurgery, orthopedics and obstetrics, as well as diagnostic and emergency services. Its behavioral hospitals provide a full range of mental health care services through inpatient, partial hospitalization and outpatient settings. It operates approximately 190 hospitals and 2,400 ambulatory sites of care, including surgery centers, freestanding emergency rooms, urgent care centers and physician clinics, in 20 states and the United Kingdom.</v>
    <v>226000</v>
    <v>New York Stock Exchange</v>
    <v>XNYS</v>
    <v>XNYS</v>
    <v>One Park Plaza, NASHVILLE, TN, 37203 US</v>
    <v>377.46</v>
    <v>Healthcare Providers &amp; Services</v>
    <v>Stock</v>
    <v>45800.997971053126</v>
    <v>813</v>
    <v>373.60500000000002</v>
    <v>92717700000</v>
    <v>HCA HEALTHCARE, INC.</v>
    <v>HCA HEALTHCARE, INC.</v>
    <v>374.56</v>
    <v>16.7346</v>
    <v>376.64</v>
    <v>376.59</v>
    <v>375</v>
    <v>246203300</v>
    <v>HCA</v>
    <v>HCA HEALTHCARE, INC. (XNYS:HCA)</v>
    <v>1138196</v>
    <v>1618937</v>
    <v>2010</v>
  </rv>
  <rv s="4">
    <v>814</v>
  </rv>
  <rv s="0">
    <v>https://www.bing.com/financeapi/forcetrigger?t=a1ser7&amp;q=XNYS%3aEW&amp;form=skydnc</v>
    <v>Learn more on Bing</v>
  </rv>
  <rv s="5">
    <v>en-CA</v>
    <v>a1ser7</v>
    <v>268435456</v>
    <v>1</v>
    <v>Powered by Refinitiv</v>
    <v>7</v>
    <v>EDWARDS LIFESCIENCES CORPORATION (XNYS:EW)</v>
    <v>8</v>
    <v>9</v>
    <v>Finance</v>
    <v>5</v>
    <v>95.25</v>
    <v>58.93</v>
    <v>1.1171</v>
    <v>0.2</v>
    <v>1.0107999999999999E-2</v>
    <v>2.6740000000000002E-3</v>
    <v>0.75800000000000001</v>
    <v>USD</v>
    <v>Edwards Lifesciences Corporation is the global structural heart company. The Company partners with clinicians and researchers and invests in research and development to improve care for those impacted by structural heart disease. Its product categories include Transcatheter Aortic Valve Replacement (TAVR), Transcatheter Mitral and Tricuspid Therapies (TMTT), and Surgical Structural Heart. It provides transcatheter heart valve replacement technologies designed for the minimally-invasive replacement of aortic heart valves. TAVR category includes the Edwards SAPIEN 3, the Edwards SAPIEN 3 Ultra and the Edwards SAPIEN 3 Ultra RESILIA systems. TMTT category includes the PASCAL Precision transcatheter repair system, EVOQUE tricuspid valve replacement system and Cardioband tricuspid valve reconstruction system. Its INSPIRIS RESILIA aortic valve, offers RESILIA tissue and VFit technology. It is managed in various geographical regions, such as United States, Europe, Japan and Rest of World.</v>
    <v>15800</v>
    <v>New York Stock Exchange</v>
    <v>XNYS</v>
    <v>XNYS</v>
    <v>One Edwards Way, IRVINE, CA, 92614 US</v>
    <v>75.150000000000006</v>
    <v>Healthcare Equipment &amp; Supplies</v>
    <v>Stock</v>
    <v>45800.965089351565</v>
    <v>816</v>
    <v>74.2</v>
    <v>43989130000</v>
    <v>EDWARDS LIFESCIENCES CORPORATION</v>
    <v>EDWARDS LIFESCIENCES CORPORATION</v>
    <v>74.8</v>
    <v>30.855499999999999</v>
    <v>74.790000000000006</v>
    <v>74.989999999999995</v>
    <v>75.748000000000005</v>
    <v>586600000</v>
    <v>EW</v>
    <v>EDWARDS LIFESCIENCES CORPORATION (XNYS:EW)</v>
    <v>3738141</v>
    <v>4778031</v>
    <v>1999</v>
  </rv>
  <rv s="4">
    <v>817</v>
  </rv>
  <rv s="13">
    <v>en-CA</v>
    <v>c8bc4c</v>
    <v>268435456</v>
    <v>1</v>
    <v>Powered by Refinitiv</v>
    <v>32</v>
    <v>GE HealthCare Technologies Inc. (XNAS:GEHC)</v>
    <v>26</v>
    <v>9</v>
    <v>Finance</v>
    <v>5</v>
    <v>94.8</v>
    <v>57.65</v>
    <v>1.1819999999999999</v>
    <v>-0.28000000000000003</v>
    <v>1.6484000000000002E-2</v>
    <v>-4.032E-3</v>
    <v>1.1399999999999999</v>
    <v>USD</v>
    <v>GE HealthCare Technologies Inc. is a healthcare solutions provider, innovating medical technology, pharmaceutical diagnostics, and integrated, cloud-first artificial intelligence (AI)-enabled solutions, services and data analytics. Its business segments include Imaging, Advanced Visualization Solutions (AVS), Patient Care Solutions (PCS), and Pharmaceutical Diagnostics (PDx). Its Imaging segment offers a portfolio of scanning devices, clinical applications, service capabilities, and digital solutions. Its AVS segment offers ultrasound, image guided therapies, and interventional solutions with a portfolio that spans the continuum of care, including screening, diagnosis, treatment, and monitoring of certain diseases. Its PCS segment consists of patient monitoring, anesthesia delivery and respiratory care, diagnostic cardiology, maternal infant care, and consumables and services. Its PDx segment develops and produces two types of imaging agents: contrast media and radiopharmaceuticals.</v>
    <v>53000</v>
    <v>Nasdaq Stock Market</v>
    <v>XNAS</v>
    <v>XNAS</v>
    <v>500 West Monroe Street, CHICAGO, IL, 60661 US</v>
    <v>69.36</v>
    <v>Healthcare Equipment &amp; Supplies</v>
    <v>Stock</v>
    <v>45800.987883310154</v>
    <v>68.44</v>
    <v>31667330000</v>
    <v>GE HealthCare Technologies Inc.</v>
    <v>GE HealthCare Technologies Inc.</v>
    <v>68.5</v>
    <v>14.6005</v>
    <v>69.44</v>
    <v>69.16</v>
    <v>70.3</v>
    <v>457885000</v>
    <v>GEHC</v>
    <v>GE HealthCare Technologies Inc. (XNAS:GEHC)</v>
    <v>2486599</v>
    <v>5382509</v>
    <v>2022</v>
  </rv>
  <rv s="4">
    <v>819</v>
  </rv>
  <rv s="0">
    <v>https://www.bing.com/financeapi/forcetrigger?t=a1mnrw&amp;q=XNYS%3aA&amp;form=skydnc</v>
    <v>Learn more on Bing</v>
  </rv>
  <rv s="5">
    <v>en-CA</v>
    <v>a1mnrw</v>
    <v>268435456</v>
    <v>1</v>
    <v>Powered by Refinitiv</v>
    <v>7</v>
    <v>AGILENT TECHNOLOGIES, INC. (XNYS:A)</v>
    <v>8</v>
    <v>9</v>
    <v>Finance</v>
    <v>5</v>
    <v>153.84</v>
    <v>96.43</v>
    <v>1.2337</v>
    <v>-1.1499999999999999</v>
    <v>-3.6859999999999996E-4</v>
    <v>-1.0485E-2</v>
    <v>-0.04</v>
    <v>USD</v>
    <v>Agilent Technologies, Inc. specializes in life sciences, diagnostics and applied markets, providing application-focused solutions that include instruments, software, services and consumables for the entire laboratory workflow. Its segments include Life Sciences and Diagnostics Markets, Agilent CrossLab and Applied Markets. Life Sciences and Diagnostics Markets segment comprises seven areas of activity. It offers active pharmaceutical ingredients for oligo-based therapeutics as well as solutions that include reagents, instruments, software and consumables. Agilent CrossLab segment offers a services and consumables portfolio that spans the entire lab, in addition to software and laboratory automation solutions, which are designed to enhance customer outcomes. Applied Markets segment offers application-focused solutions that include instruments and software that enable customers to identify, quantify and analyze the physical and biological properties of substances and products.</v>
    <v>17900</v>
    <v>New York Stock Exchange</v>
    <v>XNYS</v>
    <v>XNYS</v>
    <v>5301 Stevens Creek Blvd, SANTA CLARA, CA, 95051 US</v>
    <v>109.06</v>
    <v>Healthcare Equipment &amp; Supplies</v>
    <v>Stock</v>
    <v>45800.958333356248</v>
    <v>821</v>
    <v>107.07</v>
    <v>30942200000</v>
    <v>AGILENT TECHNOLOGIES, INC.</v>
    <v>AGILENT TECHNOLOGIES, INC.</v>
    <v>107.78</v>
    <v>25.1568</v>
    <v>109.68</v>
    <v>108.53</v>
    <v>108.49</v>
    <v>285102700</v>
    <v>A</v>
    <v>AGILENT TECHNOLOGIES, INC. (XNYS:A)</v>
    <v>1690993</v>
    <v>1973315</v>
    <v>1999</v>
  </rv>
  <rv s="4">
    <v>822</v>
  </rv>
  <rv s="0">
    <v>https://www.bing.com/financeapi/forcetrigger?t=a1vb5r&amp;q=XNAS%3aIDXX&amp;form=skydnc</v>
    <v>Learn more on Bing</v>
  </rv>
  <rv s="5">
    <v>en-CA</v>
    <v>a1vb5r</v>
    <v>268435456</v>
    <v>1</v>
    <v>Powered by Refinitiv</v>
    <v>7</v>
    <v>IDEXX LABORATORIES, INC. (XNAS:IDXX)</v>
    <v>8</v>
    <v>9</v>
    <v>Finance</v>
    <v>5</v>
    <v>530.6</v>
    <v>356.14</v>
    <v>1.5354000000000001</v>
    <v>-3.26</v>
    <v>8.5729999999999997E-4</v>
    <v>-6.4580000000000002E-3</v>
    <v>0.43</v>
    <v>USD</v>
    <v>IDEXX Laboratories, Inc. develops, manufactures and distributes products and provides services primarily for the companion animal veterinary, livestock and poultry, dairy and water testing industries. The Company also provides human medical point-of-care and laboratory diagnostics. Its segments include Companion Animal Group (CAG), Water quality products (Water), and Livestock, Poultry and Dairy (LPD). The CAG segment offers diagnostic and information management-based products and services for the companion animal veterinary industry, including in-clinic diagnostic solutions, outside reference laboratory services, and veterinary software and services. The Water segment provides testing solutions for accurate detection and quantification of various microbiological parameters in water. The LPD segment provides diagnostic tests, services, and related instrumentation that are used to manage the health status of livestock and poultry, and to improve the quality and safety of milk.</v>
    <v>11000</v>
    <v>Nasdaq Stock Market</v>
    <v>XNAS</v>
    <v>XNAS</v>
    <v>One Idexx Drive, WESTBROOK, ME, 04092-2041 US</v>
    <v>502.18</v>
    <v>Healthcare Equipment &amp; Supplies</v>
    <v>Stock</v>
    <v>45800.936326654686</v>
    <v>824</v>
    <v>496.61</v>
    <v>40646750000</v>
    <v>IDEXX LABORATORIES, INC.</v>
    <v>IDEXX LABORATORIES, INC.</v>
    <v>498</v>
    <v>46.648800000000001</v>
    <v>504.83</v>
    <v>501.57</v>
    <v>502</v>
    <v>81039040</v>
    <v>IDXX</v>
    <v>IDEXX LABORATORIES, INC. (XNAS:IDXX)</v>
    <v>443607</v>
    <v>815023</v>
    <v>1983</v>
  </rv>
  <rv s="4">
    <v>825</v>
  </rv>
  <rv s="0">
    <v>https://www.bing.com/financeapi/forcetrigger?t=a223r7&amp;q=XNYS%3aRMD&amp;form=skydnc</v>
    <v>Learn more on Bing</v>
  </rv>
  <rv s="5">
    <v>en-CA</v>
    <v>a223r7</v>
    <v>268435456</v>
    <v>1</v>
    <v>Powered by Refinitiv</v>
    <v>7</v>
    <v>RESMED INC. (XNYS:RMD)</v>
    <v>8</v>
    <v>9</v>
    <v>Finance</v>
    <v>5</v>
    <v>263.05</v>
    <v>179.42</v>
    <v>0.78159999999999996</v>
    <v>-2.65</v>
    <v>-5.0649999999999992E-3</v>
    <v>-1.0794999999999999E-2</v>
    <v>-1.23</v>
    <v>USD</v>
    <v>ResMed Inc. is a holding company. The Company, through its subsidiaries, in the development, manufacturing, distribution and marketing of medical devices and cloud-based software applications that diagnose, treat and manage respiratory disorders, including sleep disordered breathing (SDB), chronic obstructive pulmonary disease, neuromuscular disease and other chronic diseases. Its segments include Sleep and Breathing Health segment and the Residential Care Software segment. It also operates a Software as a Service (SaaS) business in the United States and Germany that includes out-of-hospital software platforms designed to support the professionals and caregivers who help people stay healthy in the home or care setting of their choice. Its products and solutions are designed to improve patients' quality of life and reduce the impact of chronic disease. Its cloud-based digital health software applications, along with its devices, are designed to provide connected care.</v>
    <v>9980</v>
    <v>New York Stock Exchange</v>
    <v>XNYS</v>
    <v>XNYS</v>
    <v>9001 Spectrum Center Blvd, SAN DIEGO, CA, 92123 US</v>
    <v>245.5</v>
    <v>Healthcare Equipment &amp; Supplies</v>
    <v>Stock</v>
    <v>45800.967561238278</v>
    <v>827</v>
    <v>242.22399999999999</v>
    <v>35607000000</v>
    <v>RESMED INC.</v>
    <v>RESMED INC.</v>
    <v>242.54</v>
    <v>27.563600000000001</v>
    <v>245.49</v>
    <v>242.84</v>
    <v>241.61</v>
    <v>146627400</v>
    <v>RMD</v>
    <v>RESMED INC. (XNYS:RMD)</v>
    <v>558148</v>
    <v>1075436</v>
    <v>1994</v>
  </rv>
  <rv s="4">
    <v>828</v>
  </rv>
  <rv s="0">
    <v>https://www.bing.com/financeapi/forcetrigger?t=a1uysm&amp;q=XNYS%3aHUM&amp;form=skydnc</v>
    <v>Learn more on Bing</v>
  </rv>
  <rv s="5">
    <v>en-CA</v>
    <v>a1uysm</v>
    <v>268435456</v>
    <v>1</v>
    <v>Powered by Refinitiv</v>
    <v>7</v>
    <v>HUMANA INC. (XNYS:HUM)</v>
    <v>8</v>
    <v>9</v>
    <v>Finance</v>
    <v>5</v>
    <v>406.46</v>
    <v>212.45</v>
    <v>0.44650000000000001</v>
    <v>-2.21</v>
    <v>-1.9120000000000001E-3</v>
    <v>-9.7299999999999991E-3</v>
    <v>-0.43</v>
    <v>USD</v>
    <v>Humana Inc. provides Humana insurance services and CenterWell health care services. The Company's segments include Insurance and CenterWell. The Insurance segment consists of Medicare benefits, marketed to individuals or directly via group Medicare accounts, as well as its contract with CMS to administer the Limited Income Newly Eligible Transition (LI-NET) prescription drug plan program and contracts with various states to provide Medicaid, dual eligible demonstration, and Long-Term Support Services benefits. This segment also includes products consisting of employer group commercial fully-insured medical and specialty health insurance benefits marketed to individuals and employer groups. The CenterWell segment includes its pharmacy, primary care, and home solutions operations. The segment also includes its strategic partnerships with WCAS to develop and operate senior-focused, payor-agnostic, primary care centers, as well as its minority ownership interest in hospice operations.</v>
    <v>65680</v>
    <v>New York Stock Exchange</v>
    <v>XNYS</v>
    <v>XNYS</v>
    <v>500 W Main St, LOUISVILLE, KY, 40202 US</v>
    <v>229.005</v>
    <v>Healthcare Providers &amp; Services</v>
    <v>Stock</v>
    <v>45800.999843066405</v>
    <v>830</v>
    <v>222.22</v>
    <v>27147580000</v>
    <v>HUMANA INC.</v>
    <v>HUMANA INC.</v>
    <v>227.62</v>
    <v>16.060199999999998</v>
    <v>227.14</v>
    <v>224.93</v>
    <v>224.5</v>
    <v>120693500</v>
    <v>HUM</v>
    <v>HUMANA INC. (XNYS:HUM)</v>
    <v>1674901</v>
    <v>2002961</v>
    <v>1964</v>
  </rv>
  <rv s="4">
    <v>831</v>
  </rv>
  <rv s="0">
    <v>https://www.bing.com/financeapi/forcetrigger?t=a1rgxm&amp;q=XNAS%3aDXCM&amp;form=skydnc</v>
    <v>Learn more on Bing</v>
  </rv>
  <rv s="5">
    <v>en-CA</v>
    <v>a1rgxm</v>
    <v>268435456</v>
    <v>1</v>
    <v>Powered by Refinitiv</v>
    <v>7</v>
    <v>DEXCOM, INC. (XNAS:DXCM)</v>
    <v>8</v>
    <v>9</v>
    <v>Finance</v>
    <v>5</v>
    <v>129.97</v>
    <v>57.52</v>
    <v>1.4471000000000001</v>
    <v>-0.32</v>
    <v>-1.5501000000000001E-2</v>
    <v>-3.7719999999999997E-3</v>
    <v>-1.31</v>
    <v>USD</v>
    <v>DexCom, Inc. is a medical device company. The Company is primarily focused on the design, development, and commercialization of continuous glucose monitoring (CGM), systems for the management of diabetes and metabolic health by patients, caregivers, and clinicians. Its products include Dexcom G6, Dexcom G7, Stelo, Dexcom Share, and Dexcom ONE. The Company enables people to take control of health through innovative biosensing technology. Dexcom G6 is its integrated continuous glucose monitoring system (iCGM). Stelo is designed specifically for people with type II diabetes who do not use insulin as the first over-the-counter glucose biosensor in the United States. The Dexcom Share remote monitoring system, offered for use with any Dexcom system, uses an app on the patient’s compatible mobile device. Its Dexcom G7 is for adults and children (2+ years) living with type I or type II diabetes who are on any insulin or medications, at risk of hypoglycemia, and those with gestational diabetes.</v>
    <v>10300</v>
    <v>Nasdaq Stock Market</v>
    <v>XNAS</v>
    <v>XNAS</v>
    <v>6340 Sequence Dr, SAN DIEGO, CA, 92121 US</v>
    <v>85.01</v>
    <v>Healthcare Equipment &amp; Supplies</v>
    <v>Stock</v>
    <v>45800.978902337498</v>
    <v>833</v>
    <v>83.48</v>
    <v>33137000000</v>
    <v>DEXCOM, INC.</v>
    <v>DEXCOM, INC.</v>
    <v>83.94</v>
    <v>65.050200000000004</v>
    <v>84.83</v>
    <v>84.51</v>
    <v>83.2</v>
    <v>392107500</v>
    <v>DXCM</v>
    <v>DEXCOM, INC. (XNAS:DXCM)</v>
    <v>2599356</v>
    <v>4075551</v>
    <v>1999</v>
  </rv>
  <rv s="4">
    <v>834</v>
  </rv>
  <rv s="0">
    <v>https://www.bing.com/financeapi/forcetrigger?t=a1pzfr&amp;q=XNYS%3aCNC&amp;form=skydnc</v>
    <v>Learn more on Bing</v>
  </rv>
  <rv s="5">
    <v>en-CA</v>
    <v>a1pzfr</v>
    <v>268435456</v>
    <v>1</v>
    <v>Powered by Refinitiv</v>
    <v>7</v>
    <v>CENTENE CORPORATION (XNYS:CNC)</v>
    <v>8</v>
    <v>9</v>
    <v>Finance</v>
    <v>5</v>
    <v>80.59</v>
    <v>55.03</v>
    <v>0.4698</v>
    <v>-1.66</v>
    <v>6.0260000000000001E-3</v>
    <v>-2.8586E-2</v>
    <v>0.33989999999999998</v>
    <v>USD</v>
    <v>Centene Corporation is a healthcare company. The Company provides fully integrated services to government-sponsored and commercial healthcare programs, focusing on under-insured and uninsured individuals. Its segments include Medicaid, Medicare, Commercial and Other. Specifically, the Medicaid segment includes the Temporary Assistance for Needy Families (TANF) program, Medicaid Expansion programs, the Aged, Blind or Disabled (ABD) program, the Children's Health Insurance Program (CHIP), Long-Term Services and Supports (LTSS), Foster Care, Medicare-Medicaid Plans (MMP), which cover beneficiaries who are dually eligible for Medicaid and Medicare and other state-based programs. The Medicare segment includes Medicare Advantage, Medicare Supplement, Dual Eligible Special Needs Plans and Medicare Prescription Drug Plans. The Commercial segment includes the Health Insurance Marketplace product along with individual, small group, and large group commercial health insurance products.</v>
    <v>60500</v>
    <v>New York Stock Exchange</v>
    <v>XNYS</v>
    <v>XNYS</v>
    <v>7700 Forsyth Blvd, ST. LOUIS, MO, 63105-1807 US</v>
    <v>58.515000000000001</v>
    <v>Healthcare Providers &amp; Services</v>
    <v>Stock</v>
    <v>45800.999624085154</v>
    <v>836</v>
    <v>55.784999999999997</v>
    <v>28069790000</v>
    <v>CENTENE CORPORATION</v>
    <v>CENTENE CORPORATION</v>
    <v>58.3</v>
    <v>8.6463000000000001</v>
    <v>58.07</v>
    <v>56.41</v>
    <v>56.749899999999997</v>
    <v>497603000</v>
    <v>CNC</v>
    <v>CENTENE CORPORATION (XNYS:CNC)</v>
    <v>5206804</v>
    <v>5396478</v>
    <v>2001</v>
  </rv>
  <rv s="4">
    <v>837</v>
  </rv>
  <rv s="0">
    <v>https://www.bing.com/financeapi/forcetrigger?t=a23ocw&amp;q=XNYS%3aSTE&amp;form=skydnc</v>
    <v>Learn more on Bing</v>
  </rv>
  <rv s="5">
    <v>en-CA</v>
    <v>a23ocw</v>
    <v>268435456</v>
    <v>1</v>
    <v>Powered by Refinitiv</v>
    <v>7</v>
    <v>STERIS PUBLIC LIMITED COMPANY (XNYS:STE)</v>
    <v>8</v>
    <v>9</v>
    <v>Finance</v>
    <v>5</v>
    <v>252.79</v>
    <v>200.98</v>
    <v>0.93500000000000005</v>
    <v>-0.8</v>
    <v>8.2299999999999995E-4</v>
    <v>-3.2810000000000001E-3</v>
    <v>0.2</v>
    <v>USD</v>
    <v>STERIS Plc is a provider of products and services that support patient care with an emphasis on infection prevention. Its segments include Healthcare, Applied Sterilization Technologies (AST), and Life Sciences. Its Healthcare segment provides a comprehensive offering for healthcare providers worldwide, focused on sterile processing departments and procedural centers, such as operating rooms and endoscopy suites. AST segment supports medical device and pharmaceutical manufacturers through a global network of contract sterilization and laboratory testing facilities, and integrated sterilization equipment and control systems. Its Life Sciences segment provides a comprehensive offering of products and services designed to support biopharmaceutical and medical device research and manufacturing facilities, in particular those focused on aseptic manufacturing. Its portfolio includes a full suite of consumable products, equipment maintenance, specialty services, and capital equipment.</v>
    <v>18179</v>
    <v>New York Stock Exchange</v>
    <v>XNYS</v>
    <v>XNYS</v>
    <v>70 Sir John Rogerson's Quay, DUBLIN IE</v>
    <v>244.02</v>
    <v>Healthcare Equipment &amp; Supplies</v>
    <v>Stock</v>
    <v>45800.958333344533</v>
    <v>839</v>
    <v>242.1</v>
    <v>23874940000</v>
    <v>STERIS PUBLIC LIMITED COMPANY</v>
    <v>STERIS PUBLIC LIMITED COMPANY</v>
    <v>243</v>
    <v>39.5839</v>
    <v>243.8</v>
    <v>243</v>
    <v>243.2</v>
    <v>98250790</v>
    <v>STE</v>
    <v>STERIS PUBLIC LIMITED COMPANY (XNYS:STE)</v>
    <v>538496</v>
    <v>732541</v>
    <v>2016</v>
  </rv>
  <rv s="4">
    <v>840</v>
  </rv>
  <rv s="0">
    <v>https://www.bing.com/financeapi/forcetrigger?t=a25par&amp;q=XNYS%3aWAT&amp;form=skydnc</v>
    <v>Learn more on Bing</v>
  </rv>
  <rv s="5">
    <v>en-CA</v>
    <v>a25par</v>
    <v>268435456</v>
    <v>1</v>
    <v>Powered by Refinitiv</v>
    <v>7</v>
    <v>WATERS CORPORATION (XNYS:WAT)</v>
    <v>8</v>
    <v>9</v>
    <v>Finance</v>
    <v>5</v>
    <v>423.56</v>
    <v>279.24</v>
    <v>1.1247</v>
    <v>-2.09</v>
    <v>-3.9550000000000002E-3</v>
    <v>-5.9979999999999999E-3</v>
    <v>-1.37</v>
    <v>USD</v>
    <v>Waters Corporation offers analytical instruments, separations technologies, and software, serving the life, materials, food, and environmental sciences. The Company's segments include Waters and TA. The Company primarily designs, manufactures, sells and services high-performance liquid chromatography (HPLC), ultra-performance liquid chromatography (UPLC and together with HPLC, referred to as LC) and mass spectrometry (MS) technology systems and support products, including chromatography columns, other consumable products and comprehensive post-warranty service plans. The Company designs, manufactures, sells and services thermal analysis, rheometry and calorimetry instruments through its TA Instruments (TA) product line. The Company is also a developer and supplier of advanced software-based products that interface with the Company’s instruments, as well as other manufacturers’ instruments. It operates directly in over 35 countries and has products available in more than 100 countries.</v>
    <v>7600</v>
    <v>New York Stock Exchange</v>
    <v>XNYS</v>
    <v>XNYS</v>
    <v>34 MAPLE ST, MILFORD, MA, 01757-3604 US</v>
    <v>347.47</v>
    <v>Healthcare Equipment &amp; Supplies</v>
    <v>Stock</v>
    <v>45800.958333333336</v>
    <v>842</v>
    <v>340.33</v>
    <v>20612160000</v>
    <v>WATERS CORPORATION</v>
    <v>WATERS CORPORATION</v>
    <v>343.2</v>
    <v>31.627199999999998</v>
    <v>348.46</v>
    <v>346.37</v>
    <v>345</v>
    <v>59509090</v>
    <v>WAT</v>
    <v>WATERS CORPORATION (XNYS:WAT)</v>
    <v>412720</v>
    <v>525287</v>
    <v>1991</v>
  </rv>
  <rv s="4">
    <v>843</v>
  </rv>
  <rv s="0">
    <v>https://www.bing.com/financeapi/forcetrigger?t=a1ww5r&amp;q=XNYS%3aLH&amp;form=skydnc</v>
    <v>Learn more on Bing</v>
  </rv>
  <rv s="5">
    <v>en-CA</v>
    <v>a1ww5r</v>
    <v>268435456</v>
    <v>1</v>
    <v>Powered by Refinitiv</v>
    <v>7</v>
    <v>LABCORP HOLDINGS INC. (XNYS:LH)</v>
    <v>8</v>
    <v>9</v>
    <v>Finance</v>
    <v>5</v>
    <v>258.58999999999997</v>
    <v>191.97</v>
    <v>0.8125</v>
    <v>0.64</v>
    <v>3.0800000000000001E-2</v>
    <v>2.6459999999999999E-3</v>
    <v>7.47</v>
    <v>USD</v>
    <v>Labcorp Holdings Inc. provides comprehensive laboratory services that help doctors, hospitals, pharmaceutical companies, researchers and patients make clear and confident decisions. The Company provides insights and accelerates to improve health and improve lives through its unparalleled diagnostics and drug development capabilities. The Company operates through two segments: Diagnostics Laboratories (Dx) and Biopharma Laboratory Services (BLS). The Diagnostics Laboratories segment includes routine testing and specialty/esoteric testing. Dx operates through a network of patient service centers, branches, rapid response laboratories, primary laboratories, and specialty laboratories. The Biopharma Laboratory Services segment consists of early development research laboratories and central laboratory services. The Company is focused on four primary specialty testing areas, such as oncology, women's health, autoimmune disease, and neurology.</v>
    <v>70000</v>
    <v>New York Stock Exchange</v>
    <v>XNYS</v>
    <v>XNYS</v>
    <v>358 S Main St, BURLINGTON, NC, 27215 US</v>
    <v>242.8</v>
    <v>Healthcare Providers &amp; Services</v>
    <v>Stock</v>
    <v>45800.958333344533</v>
    <v>845</v>
    <v>239.75</v>
    <v>20299760000</v>
    <v>LABCORP HOLDINGS INC.</v>
    <v>LABCORP HOLDINGS INC.</v>
    <v>240.73</v>
    <v>27.897400000000001</v>
    <v>241.89</v>
    <v>242.53</v>
    <v>250</v>
    <v>83700000</v>
    <v>LH</v>
    <v>LABCORP HOLDINGS INC. (XNYS:LH)</v>
    <v>503834</v>
    <v>843361</v>
    <v>2024</v>
  </rv>
  <rv s="4">
    <v>846</v>
  </rv>
  <rv s="0">
    <v>https://www.bing.com/financeapi/forcetrigger?t=a1r177&amp;q=XNYS%3aDGX&amp;form=skydnc</v>
    <v>Learn more on Bing</v>
  </rv>
  <rv s="5">
    <v>en-CA</v>
    <v>a1r177</v>
    <v>268435456</v>
    <v>1</v>
    <v>Powered by Refinitiv</v>
    <v>7</v>
    <v>QUEST DIAGNOSTICS INCORPORATED (XNYS:DGX)</v>
    <v>8</v>
    <v>9</v>
    <v>Finance</v>
    <v>5</v>
    <v>179.99</v>
    <v>135.47</v>
    <v>0.49759999999999999</v>
    <v>1.61</v>
    <v>-4.8470000000000006E-3</v>
    <v>9.4920000000000004E-3</v>
    <v>-0.83</v>
    <v>USD</v>
    <v>Quest Diagnostics Incorporated is a provider of diagnostic information services. The Company provides diagnostic insights from the results of its laboratory testing to enable people, physicians, and organizations to take action to improve health outcomes. It operates through the DIS segment, which provides diagnostic information services to a range of customers within its primary customer channels: physicians, hospitals, and patients and consumers. It offers broad access to clinical testing through a nationwide network of laboratories, patient service centers, phlebotomists in physician offices, and connectivity resources, including call centers and mobile phlebotomists, nurses and other health and wellness professionals. It also focuses on artificial intelligence (AI) and digital pathology solutions. The Company’s services primarily are provided under the Quest Diagnostics brand and under other brands, including AmeriPath, Dermpath Diagnostics, ExamOne, and Quanum.</v>
    <v>45000</v>
    <v>New York Stock Exchange</v>
    <v>XNYS</v>
    <v>XNYS</v>
    <v>500 Plaza Drive, SECAUCUS, NJ, 07094 US</v>
    <v>171.41</v>
    <v>Healthcare Providers &amp; Services</v>
    <v>Stock</v>
    <v>45800.988101053124</v>
    <v>848</v>
    <v>169.04499999999999</v>
    <v>19115340000</v>
    <v>QUEST DIAGNOSTICS INCORPORATED</v>
    <v>QUEST DIAGNOSTICS INCORPORATED</v>
    <v>170.05</v>
    <v>21.5761</v>
    <v>169.62</v>
    <v>171.23</v>
    <v>170.4</v>
    <v>111635500</v>
    <v>DGX</v>
    <v>QUEST DIAGNOSTICS INCORPORATED (XNYS:DGX)</v>
    <v>1025583</v>
    <v>1348555</v>
    <v>1996</v>
  </rv>
  <rv s="4">
    <v>849</v>
  </rv>
  <rv s="0">
    <v>https://www.bing.com/financeapi/forcetrigger?t=a1xugh&amp;q=XNYS%3aMOH&amp;form=skydnc</v>
    <v>Learn more on Bing</v>
  </rv>
  <rv s="5">
    <v>en-CA</v>
    <v>a1xugh</v>
    <v>268435456</v>
    <v>1</v>
    <v>Powered by Refinitiv</v>
    <v>7</v>
    <v>MOLINA HEALTHCARE, INC. (XNYS:MOH)</v>
    <v>8</v>
    <v>9</v>
    <v>Finance</v>
    <v>5</v>
    <v>365.23</v>
    <v>262.32</v>
    <v>0.58640000000000003</v>
    <v>-4.54</v>
    <v>0</v>
    <v>-1.4656000000000001E-2</v>
    <v>0</v>
    <v>USD</v>
    <v>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it offers managed healthcare services. Medicaid provides healthcare and long-term services and support to low-income Americans. Medicare is a federal program that provides eligible persons aged 65 and over, and some disabled persons, with a variety of hospital, medical insurance, and prescription drug benefits. The Marketplace insurance exchanges allow individuals and small groups to purchase federally subsidized health insurance. It arranges healthcare services for its members through contracts with a network of providers, including independent physicians and physician groups, hospitals, ancillary providers, and pharmacies.</v>
    <v>18000</v>
    <v>New York Stock Exchange</v>
    <v>XNYS</v>
    <v>XNYS</v>
    <v>200 Oceangate, Suite 100, LONG BEACH, CA, 90802 US</v>
    <v>312.85000000000002</v>
    <v>Healthcare Providers &amp; Services</v>
    <v>Stock</v>
    <v>45800.958333344533</v>
    <v>851</v>
    <v>300.18</v>
    <v>16543470000</v>
    <v>MOLINA HEALTHCARE, INC.</v>
    <v>MOLINA HEALTHCARE, INC.</v>
    <v>312.13</v>
    <v>14.963200000000001</v>
    <v>309.77</v>
    <v>305.23</v>
    <v>305.23</v>
    <v>54200000</v>
    <v>MOH</v>
    <v>MOLINA HEALTHCARE, INC. (XNYS:MOH)</v>
    <v>579500</v>
    <v>744460</v>
    <v>2002</v>
  </rv>
  <rv s="4">
    <v>852</v>
  </rv>
  <rv s="0">
    <v>https://www.bing.com/financeapi/forcetrigger?t=a213c7&amp;q=XNAS%3aPODD&amp;form=skydnc</v>
    <v>Learn more on Bing</v>
  </rv>
  <rv s="5">
    <v>en-CA</v>
    <v>a213c7</v>
    <v>268435456</v>
    <v>1</v>
    <v>Powered by Refinitiv</v>
    <v>7</v>
    <v>INSULET CORPORATION (XNAS:PODD)</v>
    <v>8</v>
    <v>9</v>
    <v>Finance</v>
    <v>5</v>
    <v>329.33</v>
    <v>170.67</v>
    <v>1.3480000000000001</v>
    <v>0.36</v>
    <v>0</v>
    <v>1.121E-3</v>
    <v>0</v>
    <v>USD</v>
    <v>Insulet Corporation is a medical device company. It is primarily engaged in the development, manufacture and sale of its continuous insulin delivery systems for people with insulin-dependent diabetes. The Omnipod System includes the Omnipod 5 Automated Insulin Delivery System (Omnipod 5), the Omnipod DASH Insulin Management System, and the Omnipod Insulin Management System. The Omnipod platform offers continuous insulin delivery that provides various benefits of insulin pump therapy in a way without the need for external tubing required with conventional pumps. The small, lightweight, self-adhesive disposable tubeless Omnipod device (Pod), can be worn in multiple locations, including the abdomen, hip, back of upper arm, upper thigh, or lower back, and delivers insulin into the body through a small flexible tube. It also produces pods for Amgen for use in the Neulasta Onpro kit, a delivery system for Amgen’s Neulasta to help reduce the risk of infection after intense chemotherapy.</v>
    <v>3900</v>
    <v>Nasdaq Stock Market</v>
    <v>XNAS</v>
    <v>XNAS</v>
    <v>100 Nagog Park, ACTON, MA, 01720-3440 US</v>
    <v>322.70999999999998</v>
    <v>Healthcare Equipment &amp; Supplies</v>
    <v>Stock</v>
    <v>45800.950995242965</v>
    <v>854</v>
    <v>315.91000000000003</v>
    <v>22615690000</v>
    <v>INSULET CORPORATION</v>
    <v>INSULET CORPORATION</v>
    <v>319.45999999999998</v>
    <v>57.765700000000002</v>
    <v>321</v>
    <v>321.36</v>
    <v>321.36</v>
    <v>70374920</v>
    <v>PODD</v>
    <v>INSULET CORPORATION (XNAS:PODD)</v>
    <v>693225</v>
    <v>896848</v>
    <v>2000</v>
  </rv>
  <rv s="4">
    <v>855</v>
  </rv>
  <rv s="0">
    <v>https://www.bing.com/financeapi/forcetrigger?t=a1o76h&amp;q=XNYS%3aBAX&amp;form=skydnc</v>
    <v>Learn more on Bing</v>
  </rv>
  <rv s="6">
    <v>en-CA</v>
    <v>a1o76h</v>
    <v>268435456</v>
    <v>1</v>
    <v>Powered by Refinitiv</v>
    <v>10</v>
    <v>BAXTER INTERNATIONAL INC. (XNYS:BAX)</v>
    <v>8</v>
    <v>11</v>
    <v>Finance</v>
    <v>5</v>
    <v>40.49</v>
    <v>26.25</v>
    <v>0.6169</v>
    <v>-0.15</v>
    <v>3.9839999999999997E-3</v>
    <v>-4.9550000000000002E-3</v>
    <v>0.12</v>
    <v>USD</v>
    <v>Baxter International Inc. is a global medtech company. Its segments include Medical Products and Therapies, Healthcare Systems and Technologies, and Pharmaceuticals. The Medical Products and Therapies segment includes sales of its sterile IV solutions, infusion systems, administration sets, parenteral nutrition therapies and surgical hemostat, sealant, and adhesion prevention products. The Healthcare Systems and Technologies segment includes sales of its connected care solutions and collaboration tools, including smart bed systems, patient monitoring systems and diagnostic technologies, respiratory health devices, and advanced equipment for the surgical space, including operating room integration technologies, precision positioning devices, and other accessories. The Pharmaceuticals segment includes sales of specialty injectable pharmaceuticals, inhaled anesthesia, and drug compounding. It provides a portfolio of diagnostic, critical care, nutrition, hospital and surgical products.</v>
    <v>38000</v>
    <v>New York Stock Exchange</v>
    <v>XNYS</v>
    <v>XNYS</v>
    <v>One Baxter Parkway, DEERFIELD, IL, 60015 US</v>
    <v>30.228000000000002</v>
    <v>Healthcare Equipment &amp; Supplies</v>
    <v>Stock</v>
    <v>45800.958333356248</v>
    <v>857</v>
    <v>29.72</v>
    <v>15456820000</v>
    <v>BAXTER INTERNATIONAL INC.</v>
    <v>BAXTER INTERNATIONAL INC.</v>
    <v>29.85</v>
    <v>30.27</v>
    <v>30.12</v>
    <v>30.24</v>
    <v>513174600</v>
    <v>BAX</v>
    <v>BAXTER INTERNATIONAL INC. (XNYS:BAX)</v>
    <v>2096537</v>
    <v>3996489</v>
    <v>1931</v>
  </rv>
  <rv s="4">
    <v>858</v>
  </rv>
  <rv s="0">
    <v>https://www.bing.com/financeapi/forcetrigger?t=a1q5hw&amp;q=XNYS%3aCOO&amp;form=skydnc</v>
    <v>Learn more on Bing</v>
  </rv>
  <rv s="5">
    <v>en-CA</v>
    <v>a1q5hw</v>
    <v>268435456</v>
    <v>1</v>
    <v>Powered by Refinitiv</v>
    <v>7</v>
    <v>THE COOPER COMPANIES, INC. (XNAS:COO)</v>
    <v>8</v>
    <v>9</v>
    <v>Finance</v>
    <v>5</v>
    <v>112.375</v>
    <v>69.81</v>
    <v>1.0482</v>
    <v>-0.47</v>
    <v>-5.0739999999999997E-4</v>
    <v>-5.927E-3</v>
    <v>-0.04</v>
    <v>USD</v>
    <v>The Cooper Companies, Inc. is a global medical device company. The Company operates in two business units: CooperVision and CooperSurgical. CooperVision segment is involved in the contact lens industry. CooperSurgical segment is involved in the fertility and women's health care market through its diversified portfolio of products and services, including fertility products and services, medical devices, cryostorage (such as cord blood and cord tissue storage) and contraception. CooperVision’s products include MyDay daily disposable, MyDay daily disposable toric, MyDay Energys, MyDay multifocal, Biofinity &amp; Biofinity XR, Biofinity Energys. CooperSurgical’s portfolio includes INSORB, Lone Star, and the Doppler Blood Flow Monitor. It also offers a suite of single-use cordless surgical retractors with an integrated multi-light-emitting diode (LED) light source and dual smoke evacuation channels, and single-use surgical suction devices with an integrated, cordless radial LED light source.</v>
    <v>16000</v>
    <v>Nasdaq Stock Market</v>
    <v>XNAS</v>
    <v>XNAS</v>
    <v>6101 Bollinger Canyon Road, Suite 500, SAN RAMON, CA, 94583 US</v>
    <v>79.099999999999994</v>
    <v>Healthcare Equipment &amp; Supplies</v>
    <v>Stock</v>
    <v>45800.954837024998</v>
    <v>860</v>
    <v>78.155000000000001</v>
    <v>15764520000</v>
    <v>THE COOPER COMPANIES, INC.</v>
    <v>THE COOPER COMPANIES, INC.</v>
    <v>78.37</v>
    <v>38.3247</v>
    <v>79.3</v>
    <v>78.83</v>
    <v>78.790000000000006</v>
    <v>199981200</v>
    <v>COO</v>
    <v>THE COOPER COMPANIES, INC. (XNAS:COO)</v>
    <v>1548959</v>
    <v>1731685</v>
    <v>1980</v>
  </rv>
  <rv s="4">
    <v>861</v>
  </rv>
  <rv s="0">
    <v>https://www.bing.com/financeapi/forcetrigger?t=a262jc&amp;q=XNYS%3aWST&amp;form=skydnc</v>
    <v>Learn more on Bing</v>
  </rv>
  <rv s="5">
    <v>en-CA</v>
    <v>a262jc</v>
    <v>268435456</v>
    <v>1</v>
    <v>Powered by Refinitiv</v>
    <v>7</v>
    <v>WEST PHARMACEUTICAL SERVICES, INC. (XNYS:WST)</v>
    <v>8</v>
    <v>9</v>
    <v>Finance</v>
    <v>5</v>
    <v>352.33</v>
    <v>187.43</v>
    <v>1.1004</v>
    <v>-2.9</v>
    <v>4.1830000000000001E-3</v>
    <v>-1.391E-2</v>
    <v>0.86</v>
    <v>USD</v>
    <v>West Pharmaceutical Services, Inc. is a global manufacturer that is engaged in the design and production of technologically advanced, integrated containment and delivery systems for injectable drugs and healthcare products. The Company operates in two segments: Proprietary Products and Contract-Manufactured Products. The Proprietary Products segment offers elastomers &amp; primary containment, drug delivery devices, integrated solutions, and analytical lab services, primarily to biologic, generic, and pharmaceutical drug customers. The Contract-Manufactured Products reportable segment serves as a fully integrated business, focused on the design, manufacture, and automated assembly of complex devices, primarily for pharmaceutical, diagnostic, and medical device customers. This segment manufactures customer-owned components and devices used in surgical, diagnostic, ophthalmic, injectable, and other drug delivery systems, as well as consumer products.</v>
    <v>10600</v>
    <v>New York Stock Exchange</v>
    <v>XNYS</v>
    <v>XNYS</v>
    <v>530 Herman O. West Drive, EXTON, PA, 19341 US</v>
    <v>207</v>
    <v>Healthcare Equipment &amp; Supplies</v>
    <v>Stock</v>
    <v>45800.958333333336</v>
    <v>863</v>
    <v>203.74</v>
    <v>14770690000</v>
    <v>WEST PHARMACEUTICAL SERVICES, INC.</v>
    <v>WEST PHARMACEUTICAL SERVICES, INC.</v>
    <v>206.65</v>
    <v>32.752299999999998</v>
    <v>208.49</v>
    <v>205.59</v>
    <v>206.45</v>
    <v>71845360</v>
    <v>WST</v>
    <v>WEST PHARMACEUTICAL SERVICES, INC. (XNYS:WST)</v>
    <v>606097</v>
    <v>868902</v>
    <v>1923</v>
  </rv>
  <rv s="4">
    <v>864</v>
  </rv>
  <rv s="0">
    <v>https://www.bing.com/financeapi/forcetrigger?t=a1usr7&amp;q=XNAS%3aHOLX&amp;form=skydnc</v>
    <v>Learn more on Bing</v>
  </rv>
  <rv s="5">
    <v>en-CA</v>
    <v>a1usr7</v>
    <v>268435456</v>
    <v>1</v>
    <v>Powered by Refinitiv</v>
    <v>7</v>
    <v>HOLOGIC, INC. (XNAS:HOLX)</v>
    <v>8</v>
    <v>9</v>
    <v>Finance</v>
    <v>5</v>
    <v>84.67</v>
    <v>51.9</v>
    <v>0.51029999999999998</v>
    <v>-0.2</v>
    <v>-1.6949000000000002E-2</v>
    <v>-3.6709999999999998E-3</v>
    <v>-0.92</v>
    <v>USD</v>
    <v>Hologic, Inc. is a medical technology company primarily focused on improving women's health and well-being through early detection and treatment. The Company is a developer, manufacturer and supplier of diagnostics products, medical imaging systems, and surgical products. Its segments include Diagnostics, Breast Health, GYN Surgical, and Skeletal Health. The Diagnostics segment offers a range of diagnostic products, which are used primarily to aid in the screening and diagnosis of human diseases. The Breast Health segment offers a broad portfolio of solutions for breast imaging, biopsy, breast surgery and pathology. The GYN Surgical segment's products include MyoSure hysteroscopic tissue removal system, NovaSure endometrial ablation system, Acessa ProVu laparoscopic radiofrequency ablation system, as well as CoolSeal vessel sealing portfolio and JustRight surgical stapler. The Skeletal Health segment's products include the Horizon DXA and the Fluoroscan Insight FD mini C-arm.</v>
    <v>7063</v>
    <v>Nasdaq Stock Market</v>
    <v>XNAS</v>
    <v>XNAS</v>
    <v>250 Campus Drive, MARLBOROUGH, MA, 01752 US</v>
    <v>54.44</v>
    <v>Healthcare Equipment &amp; Supplies</v>
    <v>Stock</v>
    <v>45800.84321712891</v>
    <v>866</v>
    <v>53.62</v>
    <v>12096040000</v>
    <v>HOLOGIC, INC.</v>
    <v>HOLOGIC, INC.</v>
    <v>54.04</v>
    <v>23.003599999999999</v>
    <v>54.48</v>
    <v>54.28</v>
    <v>53.36</v>
    <v>222845200</v>
    <v>HOLX</v>
    <v>HOLOGIC, INC. (XNAS:HOLX)</v>
    <v>2268541</v>
    <v>3435484</v>
    <v>1990</v>
  </rv>
  <rv s="4">
    <v>867</v>
  </rv>
  <rv s="0">
    <v>https://www.bing.com/financeapi/forcetrigger?t=a1zxcw&amp;q=XNYS%3aPKI&amp;form=skydnc</v>
    <v>Learn more on Bing</v>
  </rv>
  <rv s="5">
    <v>en-CA</v>
    <v>a1zxcw</v>
    <v>268435456</v>
    <v>1</v>
    <v>Powered by Refinitiv</v>
    <v>7</v>
    <v>REVVITY, INC. (XNYS:RVTY)</v>
    <v>8</v>
    <v>9</v>
    <v>Finance</v>
    <v>5</v>
    <v>129.5</v>
    <v>88.01</v>
    <v>0.98399999999999999</v>
    <v>-1.1499999999999999</v>
    <v>2.1829000000000001E-2</v>
    <v>-1.2709999999999999E-2</v>
    <v>1.95</v>
    <v>USD</v>
    <v>Revvity, Inc. is a provider of health science solutions, technologies, expertise and services that deliver complete workflows from discovery to development, and diagnosis to cure. The Company has specialized focus areas in translational multi-omics technologies, biomarker identification, imaging, prediction, screening, detection and diagnosis, informatics and more. Its segments include Life Sciences and Diagnostics. The Life Sciences segment provides products and services targeted towards the life sciences market. The segment offers instruments, reagents, software, detection and imaging technologies, and others. The Diagnostics segment develops diagnostics, tools, and applications focused on clinically oriented customers, within the reproductive health, immunodiagnostics, and applied genomics markets. The segment offers instruments, reagents, assay platforms and software to hospitals, medical labs, clinicians and medical research professionals to help improve the health of families.</v>
    <v>11000</v>
    <v>New York Stock Exchange</v>
    <v>XNYS</v>
    <v>XNYS</v>
    <v>77 4Th Avenue, WALTHAM, MA, 02451 US</v>
    <v>89.77</v>
    <v>Healthcare Equipment &amp; Supplies</v>
    <v>Stock</v>
    <v>45800.958333344533</v>
    <v>869</v>
    <v>88.01</v>
    <v>10529300000</v>
    <v>REVVITY, INC.</v>
    <v>REVVITY, INC.</v>
    <v>88.65</v>
    <v>37.403599999999997</v>
    <v>90.48</v>
    <v>89.33</v>
    <v>91.28</v>
    <v>117869700</v>
    <v>RVTY</v>
    <v>REVVITY, INC. (XNYS:RVTY)</v>
    <v>1023528</v>
    <v>1416122</v>
    <v>1947</v>
  </rv>
  <rv s="4">
    <v>870</v>
  </rv>
  <rv s="0">
    <v>https://www.bing.com/financeapi/forcetrigger?t=a1na6h&amp;q=XNAS%3aALGN&amp;form=skydnc</v>
    <v>Learn more on Bing</v>
  </rv>
  <rv s="5">
    <v>en-CA</v>
    <v>a1na6h</v>
    <v>268435456</v>
    <v>1</v>
    <v>Powered by Refinitiv</v>
    <v>7</v>
    <v>ALIGN TECHNOLOGY, INC. (XNAS:ALGN)</v>
    <v>8</v>
    <v>9</v>
    <v>Finance</v>
    <v>5</v>
    <v>271.58999999999997</v>
    <v>141.74</v>
    <v>1.6453</v>
    <v>-1.81</v>
    <v>-3.8059999999999999E-3</v>
    <v>-1.0486000000000001E-2</v>
    <v>-0.65</v>
    <v>USD</v>
    <v>Align Technology, Inc. is a global medical device company that designs, manufactures, and sells the Invisalign system of clear aligners, iTero intraoral scanners, and exocad computer-aided design and computer-aided manufacturing (CAD/CAM) software for digital orthodontics and restorative dentistry. The Company provides Align Digital Platform. Its segments include Clear Aligner, and Imaging Systems and CAD/CAM Services (Systems and Services). The Clear Aligner segment consists of comprehensive products, non-comprehensive products and non-case products. Its comprehensive products include Invisalign Comprehensive and Invisalign First. The Company's non-case products include retention products, Invisalign training and adjusting tools. It offers up to four sets of custom clear aligners called Vivera retainers. The Systems and Services segment consists of its iTero intraoral scanning systems. Its services include subscription software, disposables, rentals, leases and pay per scan services.</v>
    <v>20945</v>
    <v>Nasdaq Stock Market</v>
    <v>XNAS</v>
    <v>XNAS</v>
    <v>410 North Scottsdale Road, Suite 1300, TEMPE, AZ, 85288 US</v>
    <v>171.505</v>
    <v>Healthcare Equipment &amp; Supplies</v>
    <v>Stock</v>
    <v>45800.977026805471</v>
    <v>872</v>
    <v>168.005</v>
    <v>12380410000</v>
    <v>ALIGN TECHNOLOGY, INC.</v>
    <v>ALIGN TECHNOLOGY, INC.</v>
    <v>168.48</v>
    <v>31.396100000000001</v>
    <v>172.61</v>
    <v>170.8</v>
    <v>170.15</v>
    <v>72484840</v>
    <v>ALGN</v>
    <v>ALIGN TECHNOLOGY, INC. (XNAS:ALGN)</v>
    <v>493926</v>
    <v>1131809</v>
    <v>1997</v>
  </rv>
  <rv s="4">
    <v>873</v>
  </rv>
  <rv s="13">
    <v>en-CA</v>
    <v>ccr2bh</v>
    <v>268435456</v>
    <v>1</v>
    <v>Powered by Refinitiv</v>
    <v>32</v>
    <v>SOLVENTUM CORPORATION (XNYS:SOLV)</v>
    <v>26</v>
    <v>9</v>
    <v>Finance</v>
    <v>5</v>
    <v>85.92</v>
    <v>47.16</v>
    <v>0.503</v>
    <v>-1.85</v>
    <v>2.6829999999999996E-3</v>
    <v>-2.5461000000000001E-2</v>
    <v>0.19</v>
    <v>USD</v>
    <v>Solventum Corporation is a global healthcare company developing, manufacturing, and commercializing a portfolio of solutions that leverages deep material science, data science, and digital capabilities to address customer and patient needs. The Company's segments include MedSurg, Dental Solutions, Health Information Systems, and Purification and Filtration. MedSurg segment provides solutions including negative pressure wound therapy, advanced wound dressings, advanced skin care, and others. Dental Solutions segment provides a suite of dental and orthodontic products including brackets, aligners, restorative cements, and bonding agents. Health Information Systems segment provides healthcare systems with software solutions, including computer-assisted physician documentation, direct-to-bill and coding automation, and data visualization platforms. Purification and Filtration segment provides purification and filtration technologies including filters, purifiers, cartridges, and membranes.</v>
    <v>22000</v>
    <v>New York Stock Exchange</v>
    <v>XNYS</v>
    <v>XNYS</v>
    <v>C/O 3M Company, 3M Center, Building 275-6W-02, ST. PAUL, MN, 55144-1000 US</v>
    <v>72.400000000000006</v>
    <v>Healthcare Equipment &amp; Supplies</v>
    <v>Stock</v>
    <v>45800.958333344533</v>
    <v>70.41</v>
    <v>12251040000</v>
    <v>SOLVENTUM CORPORATION</v>
    <v>SOLVENTUM CORPORATION</v>
    <v>71.92</v>
    <v>33.394300000000001</v>
    <v>72.66</v>
    <v>70.81</v>
    <v>71</v>
    <v>173012900</v>
    <v>SOLV</v>
    <v>SOLVENTUM CORPORATION (XNYS:SOLV)</v>
    <v>1119861</v>
    <v>1068654</v>
    <v>2023</v>
  </rv>
  <rv s="4">
    <v>875</v>
  </rv>
  <rv s="0">
    <v>https://www.bing.com/financeapi/forcetrigger?t=a24v8m&amp;q=XNYS%3aUHS&amp;form=skydnc</v>
    <v>Learn more on Bing</v>
  </rv>
  <rv s="5">
    <v>en-CA</v>
    <v>a24v8m</v>
    <v>268435456</v>
    <v>1</v>
    <v>Powered by Refinitiv</v>
    <v>7</v>
    <v>UNIVERSAL HEALTH SERVICES, INC. (XNYS:UHS)</v>
    <v>8</v>
    <v>9</v>
    <v>Finance</v>
    <v>5</v>
    <v>243.25</v>
    <v>153.99</v>
    <v>1.3121</v>
    <v>-0.44</v>
    <v>3.3300000000000001E-3</v>
    <v>-2.3569999999999997E-3</v>
    <v>0.62</v>
    <v>USD</v>
    <v>Universal Health Services, Inc. is a holding company. The Company operates, through its subsidiaries, including its management company. It is engaged in owning and operating acute care hospitals and outpatient facilities, and behavioral healthcare facilities. Its segments include acute care hospital services, behavioral health care services, and Other. It owns and operates approximately 359 inpatient facilities, and 60 outpatient and other facilities located in 39 states, Washington, D.C., the United Kingdom, and Puerto Rico. It provides services, which include general and specialty surgery, internal medicine, obstetrics, emergency room care, radiology, oncology, diagnostic care, coronary care, pediatric services, pharmacy services and/or behavioral health services. It also provides capital resources, as well as a variety of management services to its facilities, including information services, finance and control systems, physician recruitment services, and public relations.</v>
    <v>86000</v>
    <v>New York Stock Exchange</v>
    <v>XNYS</v>
    <v>XNYS</v>
    <v>367 S GULPH RD, KING OF PRUSSIA, PA, 19406 US</v>
    <v>186.74</v>
    <v>Healthcare Providers &amp; Services</v>
    <v>Stock</v>
    <v>45800.976091990626</v>
    <v>877</v>
    <v>183.66</v>
    <v>11999450000</v>
    <v>UNIVERSAL HEALTH SERVICES, INC.</v>
    <v>UNIVERSAL HEALTH SERVICES, INC.</v>
    <v>184.69</v>
    <v>10.479200000000001</v>
    <v>186.65</v>
    <v>186.21</v>
    <v>186.83</v>
    <v>64440390</v>
    <v>UHS</v>
    <v>UNIVERSAL HEALTH SERVICES, INC. (XNYS:UHS)</v>
    <v>439367</v>
    <v>835753</v>
    <v>1979</v>
  </rv>
  <rv s="4">
    <v>878</v>
  </rv>
  <rv s="0">
    <v>https://www.bing.com/financeapi/forcetrigger?t=a1uw77&amp;q=XNAS%3aHSIC&amp;form=skydnc</v>
    <v>Learn more on Bing</v>
  </rv>
  <rv s="5">
    <v>en-CA</v>
    <v>a1uw77</v>
    <v>268435456</v>
    <v>1</v>
    <v>Powered by Refinitiv</v>
    <v>7</v>
    <v>HENRY SCHEIN, INC. (XNAS:HSIC)</v>
    <v>8</v>
    <v>9</v>
    <v>Finance</v>
    <v>5</v>
    <v>82.49</v>
    <v>60.56</v>
    <v>0.87209999999999999</v>
    <v>0.32</v>
    <v>4.7450000000000001E-3</v>
    <v>4.4860000000000004E-3</v>
    <v>0.34</v>
    <v>USD</v>
    <v>Henry Schein, Inc. is a solutions company for healthcare professionals. Its segments consist of Global Distribution and Value-Added services, Global Specialty Services, and Global Technology. Global Distribution and Value-Added Services include the distribution to the global dental and medical markets of national brand and corporate brand merchandise, as well as equipment and related technical services. This segment also includes value-added services such as financial services, continuing education services, consulting and other services. This segment also markets and sells under its own brand, a portfolio of consumable merchandise. The Global Specialty Products includes the manufacturing, marketing and sales of dental implant and biomaterial products; and endodontic, orthodontic and orthopedic products and other healthcare-related products and services. Global Technology includes the development and distribution of practice management software, e-services, and other products.</v>
    <v>25000</v>
    <v>Nasdaq Stock Market</v>
    <v>XNAS</v>
    <v>XNAS</v>
    <v>135 Duryea Rd, MELVILLE, NY, 11747 US</v>
    <v>71.944999999999993</v>
    <v>Healthcare Equipment &amp; Supplies</v>
    <v>Stock</v>
    <v>45800.84321712891</v>
    <v>880</v>
    <v>70.41</v>
    <v>8956587000</v>
    <v>HENRY SCHEIN, INC.</v>
    <v>HENRY SCHEIN, INC.</v>
    <v>70.73</v>
    <v>22.173100000000002</v>
    <v>71.33</v>
    <v>71.650000000000006</v>
    <v>71.989999999999995</v>
    <v>125004700</v>
    <v>HSIC</v>
    <v>HENRY SCHEIN, INC. (XNAS:HSIC)</v>
    <v>1534999</v>
    <v>1448992</v>
    <v>1992</v>
  </rv>
  <rv s="4">
    <v>881</v>
  </rv>
  <rv s="0">
    <v>https://www.bing.com/financeapi/forcetrigger?t=a1rec7&amp;q=XNYS%3aDVA&amp;form=skydnc</v>
    <v>Learn more on Bing</v>
  </rv>
  <rv s="5">
    <v>en-CA</v>
    <v>a1rec7</v>
    <v>268435456</v>
    <v>1</v>
    <v>Powered by Refinitiv</v>
    <v>7</v>
    <v>DAVITA INC. (XNYS:DVA)</v>
    <v>8</v>
    <v>9</v>
    <v>Finance</v>
    <v>5</v>
    <v>179.6</v>
    <v>131.44</v>
    <v>1.1311</v>
    <v>-0.33</v>
    <v>0</v>
    <v>-2.382E-3</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138.63</v>
    <v>Healthcare Providers &amp; Services</v>
    <v>Stock</v>
    <v>45800.958333344533</v>
    <v>883</v>
    <v>136.5</v>
    <v>10433340000</v>
    <v>DAVITA INC.</v>
    <v>DAVITA INC.</v>
    <v>137.99</v>
    <v>13.7098</v>
    <v>138.52000000000001</v>
    <v>138.19</v>
    <v>138.19</v>
    <v>75500000</v>
    <v>DVA</v>
    <v>DAVITA INC. (XNYS:DVA)</v>
    <v>605497</v>
    <v>822149</v>
    <v>1994</v>
  </rv>
  <rv s="4">
    <v>884</v>
  </rv>
  <rv s="0">
    <v>https://www.bing.com/financeapi/forcetrigger?t=a245u2&amp;q=XNYS%3aTFX&amp;form=skydnc</v>
    <v>Learn more on Bing</v>
  </rv>
  <rv s="5">
    <v>en-CA</v>
    <v>a245u2</v>
    <v>268435456</v>
    <v>1</v>
    <v>Powered by Refinitiv</v>
    <v>7</v>
    <v>TELEFLEX INCORPORATED (XNYS:TFX)</v>
    <v>8</v>
    <v>9</v>
    <v>Finance</v>
    <v>5</v>
    <v>249.905</v>
    <v>119.08</v>
    <v>1.1194</v>
    <v>-0.16</v>
    <v>1.4240999999999998E-2</v>
    <v>-1.323E-3</v>
    <v>1.72</v>
    <v>USD</v>
    <v>Teleflex Incorporated is a global provider of medical technology products. The Company offers a diverse portfolio of solutions in the therapy areas of anesthesia, emergency medicine, interventional cardiology and radiology, surgical, vascular access, and urology. It primarily designs, develops, manufactures and supplies single-use medical devices used by hospitals and healthcare providers for common diagnostic and therapeutic procedures in critical care and surgical applications. It operates in three segments: the Americas, EMEA (Europe, the Middle East and Africa) and Asia (Asia Pacific). Its vascular access product portfolio includes Arrow branded catheters, catheter navigation and tip positioning systems, and intraosseous (bone access) systems. Interventional product offerings consist of a portfolio of Arrow branded intra-aortic balloon pumps and catheters, GuideLiner, Turnpike and TrapLiner catheters, the MANTA Vascular Closure device and Arrow OnControl powered bone biopsy system.</v>
    <v>14100</v>
    <v>New York Stock Exchange</v>
    <v>XNYS</v>
    <v>XNYS</v>
    <v>550 E Swedesford Rd, Suite 400, WAYNE, PA, 19087 US</v>
    <v>121.54</v>
    <v>Healthcare Equipment &amp; Supplies</v>
    <v>Stock</v>
    <v>45800.999798171091</v>
    <v>886</v>
    <v>119.08</v>
    <v>5337146000</v>
    <v>TELEFLEX INCORPORATED</v>
    <v>TELEFLEX INCORPORATED</v>
    <v>119.08</v>
    <v>38.089399999999998</v>
    <v>120.94</v>
    <v>120.78</v>
    <v>122.5</v>
    <v>44188990</v>
    <v>TFX</v>
    <v>TELEFLEX INCORPORATED (XNYS:TFX)</v>
    <v>504862</v>
    <v>624430</v>
    <v>1943</v>
  </rv>
  <rv s="4">
    <v>887</v>
  </rv>
  <rv s="0">
    <v>https://www.bing.com/financeapi/forcetrigger?t=a1zy3m&amp;q=XNYS%3aPLD&amp;form=skydnc</v>
    <v>Learn more on Bing</v>
  </rv>
  <rv s="5">
    <v>en-CA</v>
    <v>a1zy3m</v>
    <v>268435456</v>
    <v>1</v>
    <v>Powered by Refinitiv</v>
    <v>7</v>
    <v>PROLOGIS, INC. (XNYS:PLD)</v>
    <v>8</v>
    <v>9</v>
    <v>Finance</v>
    <v>5</v>
    <v>132.57</v>
    <v>85.35</v>
    <v>1.2675000000000001</v>
    <v>-1.05</v>
    <v>2.0180000000000003E-3</v>
    <v>-9.9909999999999999E-3</v>
    <v>0.21</v>
    <v>USD</v>
    <v>Prologis, Inc. is a fully integrated real estate company. The Company operates through two segments: Real Estate Operations (Rental Operations and Development) and Strategic Capital. Its Real Estate Segment represents the ownership and development of operating properties. The Real Estate Segment also includes development activities that lead to rental operations, including land held for development and properties under development, and other real estate investments, including energy assets. Strategic Capital Segment represents the management of unconsolidated co-investment ventures. The Company is the general partner of Prologis, L.P. (the Operating Partnership or OP). Through the OP, it is engaged in the ownership, acquisition, development and management of logistics facilities with a focus on key markets in approximately 20 countries on four continents. It operates, manages and measures the operating performance of its properties on an owned and managed (O&amp;M) basis.</v>
    <v>2703</v>
    <v>New York Stock Exchange</v>
    <v>XNYS</v>
    <v>XNYS</v>
    <v>PIER 1 BAY 1, SAN FRANCISCO, CA, 94111 US</v>
    <v>104.86</v>
    <v>Residential &amp; Commercial REIT</v>
    <v>Stock</v>
    <v>45800.991205497659</v>
    <v>889</v>
    <v>103.02</v>
    <v>96541420000</v>
    <v>PROLOGIS, INC.</v>
    <v>PROLOGIS, INC.</v>
    <v>104.33</v>
    <v>26.198399999999999</v>
    <v>105.09</v>
    <v>104.04</v>
    <v>104.25</v>
    <v>927926000</v>
    <v>PLD</v>
    <v>PROLOGIS, INC. (XNYS:PLD)</v>
    <v>3075515</v>
    <v>4612503</v>
    <v>1997</v>
  </rv>
  <rv s="4">
    <v>890</v>
  </rv>
  <rv s="0">
    <v>https://www.bing.com/financeapi/forcetrigger?t=a1ngur&amp;q=XNYS%3aAMT&amp;form=skydnc</v>
    <v>Learn more on Bing</v>
  </rv>
  <rv s="5">
    <v>en-CA</v>
    <v>a1ngur</v>
    <v>268435456</v>
    <v>1</v>
    <v>Powered by Refinitiv</v>
    <v>7</v>
    <v>AMERICAN TOWER CORPORATION (XNYS:AMT)</v>
    <v>8</v>
    <v>9</v>
    <v>Finance</v>
    <v>5</v>
    <v>243.56</v>
    <v>172.51</v>
    <v>0.84279999999999999</v>
    <v>1.59</v>
    <v>-2.3599999999999999E-4</v>
    <v>7.5620000000000001E-3</v>
    <v>-0.05</v>
    <v>USD</v>
    <v>American Tower Corporation is a real estate investment trust (REIT), and is an independent owner, operator and developer of multitenant communications real estate with a portfolio of over 148,000 communications sites and a highly interconnected footprint of U.S. data center facilities. Its segments include U.S. &amp; Canada property, Asia-Pacific property, Africa property, Europe property, Latin America property, Data Centers and Services. The Company’s primary business is leasing space on multitenant communications sites to wireless service providers, radio and television broadcast companies, wireless data providers, government agencies and municipalities and tenants in a number of other industries. Its Data Centers segment relates to data center facilities and related assets that it owns and operates in the United States. Its Services segment offers tower-related services in the United States, including AZP, structural and mount analyses, and construction management.</v>
    <v>4691</v>
    <v>New York Stock Exchange</v>
    <v>XNYS</v>
    <v>XNYS</v>
    <v>116 Huntington Ave, BOSTON, MA, 02116 US</v>
    <v>213.53</v>
    <v>Residential &amp; Commercial REIT</v>
    <v>Stock</v>
    <v>45800.969015335155</v>
    <v>892</v>
    <v>210.55500000000001</v>
    <v>99179770000</v>
    <v>AMERICAN TOWER CORPORATION</v>
    <v>AMERICAN TOWER CORPORATION</v>
    <v>213.12</v>
    <v>32.433</v>
    <v>210.27</v>
    <v>211.86</v>
    <v>211.81</v>
    <v>468138200</v>
    <v>AMT</v>
    <v>AMERICAN TOWER CORPORATION (XNYS:AMT)</v>
    <v>1573189</v>
    <v>2990844</v>
    <v>1996</v>
  </rv>
  <rv s="4">
    <v>893</v>
  </rv>
  <rv s="0">
    <v>https://www.bing.com/financeapi/forcetrigger?t=az6zf2&amp;q=XNYS%3aWELL&amp;form=skydnc</v>
    <v>Learn more on Bing</v>
  </rv>
  <rv s="5">
    <v>en-CA</v>
    <v>az6zf2</v>
    <v>268435456</v>
    <v>1</v>
    <v>Powered by Refinitiv</v>
    <v>7</v>
    <v>WELLTOWER INC. (XNYS:WELL)</v>
    <v>8</v>
    <v>9</v>
    <v>Finance</v>
    <v>5</v>
    <v>158.55000000000001</v>
    <v>99.77</v>
    <v>0.92520000000000002</v>
    <v>2.27</v>
    <v>9.0500000000000008E-3</v>
    <v>1.5453E-2</v>
    <v>1.35</v>
    <v>USD</v>
    <v>Welltower Inc. is a residential wellness and healthcare infrastructure company. It seeks to position its portfolio of 1,500 plus seniors and wellness housing communities at the intersection of housing, healthcare, and hospitality, creating communities for mature renters and older adults in the United States, United Kingdom, and Canada. Its segments include Seniors Housing Operating, Triple-net and Outpatient Medical. Its seniors housing operating properties include seniors apartments, assisted living communities, independent living/continuing care retirement communities, independent supportive living communities (Canada), care homes with and without nursing (United Kingdom) and combinations thereof. Its triple-net properties include the property types that are under seniors housing operating properties, as well as long-term/post-acute care facilities. Its outpatient medical portfolio is primarily self-managed and consists of multi-tenant properties leased to healthcare providers.</v>
    <v>685</v>
    <v>New York Stock Exchange</v>
    <v>XNYS</v>
    <v>XNYS</v>
    <v>4500 Dorr Street, TOLEDO, OH, 43615 US</v>
    <v>149.72</v>
    <v>Residential &amp; Commercial REIT</v>
    <v>Stock</v>
    <v>45800.967902024997</v>
    <v>895</v>
    <v>147.49</v>
    <v>97549950000</v>
    <v>WELLTOWER INC.</v>
    <v>WELLTOWER INC.</v>
    <v>148.16</v>
    <v>158.0454</v>
    <v>146.9</v>
    <v>149.16999999999999</v>
    <v>150.52000000000001</v>
    <v>653951600</v>
    <v>WELL</v>
    <v>WELLTOWER INC. (XNYS:WELL)</v>
    <v>2183284</v>
    <v>2663071</v>
    <v>2022</v>
  </rv>
  <rv s="4">
    <v>896</v>
  </rv>
  <rv s="0">
    <v>https://www.bing.com/financeapi/forcetrigger?t=a1s4mw&amp;q=XNAS%3aEQIX&amp;form=skydnc</v>
    <v>Learn more on Bing</v>
  </rv>
  <rv s="5">
    <v>en-CA</v>
    <v>a1s4mw</v>
    <v>268435456</v>
    <v>1</v>
    <v>Powered by Refinitiv</v>
    <v>7</v>
    <v>EQUINIX, INC. (XNAS:EQIX)</v>
    <v>8</v>
    <v>9</v>
    <v>Finance</v>
    <v>5</v>
    <v>994.03</v>
    <v>701.41</v>
    <v>0.95689999999999997</v>
    <v>-3.04</v>
    <v>-1.691E-3</v>
    <v>-3.5079999999999998E-3</v>
    <v>-1.46</v>
    <v>USD</v>
    <v>Equinix, Inc. is a digital infrastructure company. The Company's platform, Equinix, combines a global footprint of International Business Exchange (IBX) and xScale data centers in the Americas, Asia-Pacific, and Europe, the Middle East and Africa (EMEA) regions, interconnection solutions, digital offerings, business and digital ecosystems and consulting and support. It offers a variety of enabling solutions that support a customer's need to implement, operate and maintain its colocated deployments. Its solutions include Equinix SmartView, Equinix Smart Hands, and Equinix Smart Build (ESB). Equinix SmartView is fully integrated monitoring software that provides customers visibility into the operating data relevant to their specific Equinix footprint. Its interconnection solutions connect businesses directly within and between its data centers across its global platform. Its interconnection solutions include Equinix Fabric, Equinix Fabric Cloud Router, Cross Connects, and others.</v>
    <v>13606</v>
    <v>Nasdaq Stock Market</v>
    <v>XNAS</v>
    <v>XNAS</v>
    <v>One Lagoon Drive, REDWOOD CITY, CA, 94065 US</v>
    <v>867.3</v>
    <v>Residential &amp; Commercial REIT</v>
    <v>Stock</v>
    <v>45800.978767198438</v>
    <v>898</v>
    <v>857.54</v>
    <v>84462790000</v>
    <v>EQUINIX, INC.</v>
    <v>EQUINIX, INC.</v>
    <v>864.9</v>
    <v>90.027699999999996</v>
    <v>866.5</v>
    <v>863.46</v>
    <v>862</v>
    <v>97818990</v>
    <v>EQIX</v>
    <v>EQUINIX, INC. (XNAS:EQIX)</v>
    <v>441675</v>
    <v>530274</v>
    <v>1998</v>
  </rv>
  <rv s="4">
    <v>899</v>
  </rv>
  <rv s="0">
    <v>https://www.bing.com/financeapi/forcetrigger?t=a23d6h&amp;q=XNYS%3aSPG&amp;form=skydnc</v>
    <v>Learn more on Bing</v>
  </rv>
  <rv s="5">
    <v>en-CA</v>
    <v>a23d6h</v>
    <v>268435456</v>
    <v>1</v>
    <v>Powered by Refinitiv</v>
    <v>7</v>
    <v>SIMON PROPERTY GROUP, INC. (XNYS:SPG)</v>
    <v>8</v>
    <v>9</v>
    <v>Finance</v>
    <v>5</v>
    <v>190.13499999999999</v>
    <v>136.34</v>
    <v>1.4998</v>
    <v>-1.18</v>
    <v>6.3789999999999997E-5</v>
    <v>-7.4710000000000002E-3</v>
    <v>0.01</v>
    <v>USD</v>
    <v>Simon Property Group, Inc. is a self-administered and self-managed real estate investment trust (REIT). It owns, develops and manages premier shopping, dining, entertainment and mixed-use destinations, which consist primarily of malls, Premium Outlets, and The Mills. It owns or holds an interest in approximately 196 income-producing properties in the United States, which consists of 93 malls, 70 Premium Outlets, 14 Mills, six lifestyle centers, and 13 other retail properties in 37 states and Puerto Rico. It also holds an interest in 22 regional, super-regional, and outlet malls in the United States and Asia. In addition, it has redevelopment and expansion projects, including the addition of anchors, big box tenants and restaurants, underway at properties in North America, Europe and Asia. Internationally, the Company has ownership in 35 Premium Outlets and Designer Outlet properties primarily located in Asia, Europe, and Canada. It also has two luxury outlet destinations in Italy.</v>
    <v>2400</v>
    <v>New York Stock Exchange</v>
    <v>XNYS</v>
    <v>XNYS</v>
    <v>225 West Washington Street, INDIANAPOLIS, IN, 46204-3438 US</v>
    <v>158</v>
    <v>Residential &amp; Commercial REIT</v>
    <v>Stock</v>
    <v>45800.99831977969</v>
    <v>901</v>
    <v>156.05000000000001</v>
    <v>51173650000</v>
    <v>SIMON PROPERTY GROUP, INC.</v>
    <v>SIMON PROPERTY GROUP, INC.</v>
    <v>156.24</v>
    <v>20.3489</v>
    <v>157.94999999999999</v>
    <v>156.77000000000001</v>
    <v>156.78</v>
    <v>326425000</v>
    <v>SPG</v>
    <v>SIMON PROPERTY GROUP, INC. (XNYS:SPG)</v>
    <v>1268564</v>
    <v>1711131</v>
    <v>1998</v>
  </rv>
  <rv s="4">
    <v>902</v>
  </rv>
  <rv s="0">
    <v>https://www.bing.com/financeapi/forcetrigger?t=a1z11h&amp;q=XNYS%3aO&amp;form=skydnc</v>
    <v>Learn more on Bing</v>
  </rv>
  <rv s="5">
    <v>en-CA</v>
    <v>a1z11h</v>
    <v>268435456</v>
    <v>1</v>
    <v>Powered by Refinitiv</v>
    <v>7</v>
    <v>REALTY INCOME CORPORATION (XNYS:O)</v>
    <v>8</v>
    <v>9</v>
    <v>Finance</v>
    <v>5</v>
    <v>64.88</v>
    <v>50.71</v>
    <v>0.77270000000000005</v>
    <v>0.35</v>
    <v>7.203E-4</v>
    <v>6.3429999999999997E-3</v>
    <v>0.04</v>
    <v>USD</v>
    <v>Realty Income Corporation is a real estate investment trust. The Company is engaged in acquiring and managing freestanding commercial properties that generate rental revenue under long-term net lease agreements with its commercial clients. It is engaged in a single business activity, which is the leasing of property to clients, generally on a net basis. That business activity spans various geographic boundaries and includes property types and clients engaged in various industries. The Company owns or holds interests in approximately 15,621 properties located in all 50 United States (U.S.) states, the United Kingdom, France, Germany, Ireland, Italy, Portugal, and Spain with clients doing business in 89 industries. Its property types include retail, industrial, gaming and others, such as agriculture and office. Its primary industry concentrations include grocery stores, convenience stores, dollar stores, drug stores, home improvement, restaurants-quick service and others.</v>
    <v>468</v>
    <v>New York Stock Exchange</v>
    <v>XNYS</v>
    <v>XNYS</v>
    <v>11995 El Camino Real, SAN DIEGO, CA, 92130 US</v>
    <v>55.7</v>
    <v>Residential &amp; Commercial REIT</v>
    <v>Stock</v>
    <v>45800.999358193752</v>
    <v>904</v>
    <v>55.03</v>
    <v>50148030000</v>
    <v>REALTY INCOME CORPORATION</v>
    <v>REALTY INCOME CORPORATION</v>
    <v>55.46</v>
    <v>50.2729</v>
    <v>55.18</v>
    <v>55.53</v>
    <v>55.57</v>
    <v>903080000</v>
    <v>O</v>
    <v>REALTY INCOME CORPORATION (XNYS:O)</v>
    <v>4007132</v>
    <v>5096652</v>
    <v>1997</v>
  </rv>
  <rv s="4">
    <v>905</v>
  </rv>
  <rv s="0">
    <v>https://www.bing.com/financeapi/forcetrigger?t=a218mw&amp;q=XNYS%3aPSA&amp;form=skydnc</v>
    <v>Learn more on Bing</v>
  </rv>
  <rv s="5">
    <v>en-CA</v>
    <v>a218mw</v>
    <v>268435456</v>
    <v>1</v>
    <v>Powered by Refinitiv</v>
    <v>7</v>
    <v>PUBLIC STORAGE. (XNYS:PSA)</v>
    <v>8</v>
    <v>9</v>
    <v>Finance</v>
    <v>5</v>
    <v>369.988</v>
    <v>256.60000000000002</v>
    <v>0.90139999999999998</v>
    <v>0.92</v>
    <v>2.0154999999999999E-2</v>
    <v>3.1099999999999999E-3</v>
    <v>5.98</v>
    <v>USD</v>
    <v>Public Storage is a real estate investment trust (REIT). The Company is engaged in the ownership and operation of self-storage facilities and other related operations including tenant reinsurance and third-party self-storage management. It offers storage spaces for lease on a month-to-month basis, for personal and business use. Its segments include Self-Storage Operations and Ancillary Operations. The Self-Storage Operations segment includes the aggregated rental operations from the self-storage facilities it owns from same store facilities, acquired facilities, developed, and expanded facilities, and other non-same store facilities. The Ancillary Operations segment includes combined operations of its tenant reinsurance, merchandise sales, and third-party property management segments. The Company owns interests in approximately 3,049 self-storage facilities (an aggregate of 219 million net rentable square feet of space) operating under the Public Storage name.</v>
    <v>5900</v>
    <v>New York Stock Exchange</v>
    <v>XNYS</v>
    <v>XNYS</v>
    <v>701 Western Avenue, GLENDALE, CA, 91201-2349 US</v>
    <v>297.49</v>
    <v>Residential &amp; Commercial REIT</v>
    <v>Stock</v>
    <v>45800.958333356248</v>
    <v>907</v>
    <v>294.61</v>
    <v>52050480000</v>
    <v>PUBLIC STORAGE.</v>
    <v>PUBLIC STORAGE.</v>
    <v>296.69</v>
    <v>29.3611</v>
    <v>295.77999999999997</v>
    <v>296.7</v>
    <v>302.68</v>
    <v>175431300</v>
    <v>PSA</v>
    <v>PUBLIC STORAGE. (XNYS:PSA)</v>
    <v>558746</v>
    <v>743452</v>
    <v>2023</v>
  </rv>
  <rv s="4">
    <v>908</v>
  </rv>
  <rv s="0">
    <v>https://www.bing.com/financeapi/forcetrigger?t=a1r5fr&amp;q=XNYS%3aDLR&amp;form=skydnc</v>
    <v>Learn more on Bing</v>
  </rv>
  <rv s="5">
    <v>en-CA</v>
    <v>a1r5fr</v>
    <v>268435456</v>
    <v>1</v>
    <v>Powered by Refinitiv</v>
    <v>7</v>
    <v>DIGITAL REALTY TRUST, INC. (XNYS:DLR)</v>
    <v>8</v>
    <v>9</v>
    <v>Finance</v>
    <v>5</v>
    <v>198</v>
    <v>129.94999999999999</v>
    <v>0.97160000000000002</v>
    <v>0.17</v>
    <v>1.1182000000000001E-2</v>
    <v>1.0119999999999999E-3</v>
    <v>1.88</v>
    <v>USD</v>
    <v>Digital Realty Trust, Inc. is a real estate investment trust. The Company owns, acquires, develops, and operates data centers through its operating partnership subsidiary, Digital Realty Trust, L.P. The Company is focused on providing data center, colocation, and interconnection solutions for domestic and international customers across a variety of industry verticals ranging from cloud and information technology services, communications and social networking to financial services, manufacturing, energy, healthcare, and consumer products. Its portfolio consists of over 308 data centers, of which 121 are located in the United States, 112 are located in Europe, 36 are located in Latin America, 16 are located in Africa, 16 are located in Asia, six are located in Australia and three are located in Canada. Its PlatformDIGITAL is a global data center platform for scaling digital business which enables customers to deploy their critical infrastructure with a global data center provider.</v>
    <v>3936</v>
    <v>New York Stock Exchange</v>
    <v>XNYS</v>
    <v>XNYS</v>
    <v>2323 Bryan Street, Suite 1800, DALLAS, TX, 75201 US</v>
    <v>169.07</v>
    <v>Residential &amp; Commercial REIT</v>
    <v>Stock</v>
    <v>45800.998950647656</v>
    <v>910</v>
    <v>166.25</v>
    <v>56614200000</v>
    <v>DIGITAL REALTY TRUST, INC.</v>
    <v>DIGITAL REALTY TRUST, INC.</v>
    <v>167.51</v>
    <v>156.43629999999999</v>
    <v>167.95</v>
    <v>168.12</v>
    <v>170</v>
    <v>336748700</v>
    <v>DLR</v>
    <v>DIGITAL REALTY TRUST, INC. (XNYS:DLR)</v>
    <v>1151584</v>
    <v>1784165</v>
    <v>2004</v>
  </rv>
  <rv s="4">
    <v>911</v>
  </rv>
  <rv s="0">
    <v>https://www.bing.com/financeapi/forcetrigger?t=a1pcf2&amp;q=XNYS%3aCCI&amp;form=skydnc</v>
    <v>Learn more on Bing</v>
  </rv>
  <rv s="6">
    <v>en-CA</v>
    <v>a1pcf2</v>
    <v>268435456</v>
    <v>1</v>
    <v>Powered by Refinitiv</v>
    <v>10</v>
    <v>CROWN CASTLE INC. (XNYS:CCI)</v>
    <v>8</v>
    <v>11</v>
    <v>Finance</v>
    <v>5</v>
    <v>120.92</v>
    <v>84.2</v>
    <v>0.91559999999999997</v>
    <v>0.24</v>
    <v>-1.6969999999999999E-3</v>
    <v>2.4020000000000001E-3</v>
    <v>-0.17</v>
    <v>USD</v>
    <v>Crown Castle Inc. owns, operates and leases more than 40,000 cell towers and approximately 90,000 route miles of fiber supporting small cells and fiber solutions across every United States market. Its core business is providing access, including space or capacity, to its shared communications infrastructure via long-term tenant contracts in various forms, including lease, license, sublease and service agreements in the United States. Its segments include Towers and Fiber, which includes both small cells and fiber solutions. The Towers segment provides access, including space or capacity, to the Company's more than 40,000 towers throughout the United States. The Towers segment also provides ancillary services relating to the Company's towers, consisting of site development services and installation services. The Fiber segment consists of communications infrastructure offerings of small cells and fiber solutions.</v>
    <v>3900</v>
    <v>New York Stock Exchange</v>
    <v>XNYS</v>
    <v>XNYS</v>
    <v>8020 Katy Freeway, HOUSTON, TX, 77024 US</v>
    <v>101.16</v>
    <v>Residential &amp; Commercial REIT</v>
    <v>Stock</v>
    <v>45800.995956967185</v>
    <v>913</v>
    <v>99.42</v>
    <v>43615550000</v>
    <v>CROWN CASTLE INC.</v>
    <v>CROWN CASTLE INC.</v>
    <v>100.63</v>
    <v>99.92</v>
    <v>100.16</v>
    <v>99.99</v>
    <v>435458800</v>
    <v>CCI</v>
    <v>CROWN CASTLE INC. (XNYS:CCI)</v>
    <v>1853081</v>
    <v>2871416</v>
    <v>2014</v>
  </rv>
  <rv s="4">
    <v>914</v>
  </rv>
  <rv s="0">
    <v>https://www.bing.com/financeapi/forcetrigger?t=azetdm&amp;q=XNYS%3aCBRE&amp;form=skydnc</v>
    <v>Learn more on Bing</v>
  </rv>
  <rv s="5">
    <v>en-CA</v>
    <v>azetdm</v>
    <v>268435456</v>
    <v>1</v>
    <v>Powered by Refinitiv</v>
    <v>7</v>
    <v>CBRE GROUP, INC. (XNYS:CBRE)</v>
    <v>8</v>
    <v>9</v>
    <v>Finance</v>
    <v>5</v>
    <v>147.75</v>
    <v>84.24</v>
    <v>1.2975000000000001</v>
    <v>0.7</v>
    <v>-1.7583999999999999E-2</v>
    <v>5.8130000000000005E-3</v>
    <v>-2.13</v>
    <v>USD</v>
    <v>CBRE Group, Inc. is a commercial real estate services and investment firm. Its Advisory Services segment provides a range of services globally, including property leasing; capital markets, which includes property sales and mortgage origination; mortgage servicing; property management and valuation. Its Global Workplace Solutions segment provides integrated facilities management and project management solutions for major occupiers of commercial real estate. Its Real Estate Investments segment consists of two businesses: investment management and real estate development. Its investment management services are provided to pension funds, insurance companies, sovereign wealth funds, foundations, endowments, and other institutional investors. Its development services consist of real estate development and investment activities. It provides engineering services, base support operations and facilities maintenance for the U.S. federal government. It also provides data center infrastructure.</v>
    <v>140000</v>
    <v>New York Stock Exchange</v>
    <v>XNYS</v>
    <v>XNYS</v>
    <v>2121 North Pearl Street, Suite 300, DALLAS, TX, 75201 US</v>
    <v>122.16500000000001</v>
    <v>Real Estate Operations</v>
    <v>Stock</v>
    <v>45800.958333356248</v>
    <v>916</v>
    <v>118.80500000000001</v>
    <v>36109440000</v>
    <v>CBRE GROUP, INC.</v>
    <v>CBRE GROUP, INC.</v>
    <v>119.44</v>
    <v>36.775199999999998</v>
    <v>120.43</v>
    <v>121.13</v>
    <v>119</v>
    <v>298104900</v>
    <v>CBRE</v>
    <v>CBRE GROUP, INC. (XNYS:CBRE)</v>
    <v>2064762</v>
    <v>1821671</v>
    <v>2001</v>
  </rv>
  <rv s="4">
    <v>917</v>
  </rv>
  <rv s="0">
    <v>https://www.bing.com/financeapi/forcetrigger?t=a1r1lh&amp;q=XNYS%3aDHI&amp;form=skydnc</v>
    <v>Learn more on Bing</v>
  </rv>
  <rv s="5">
    <v>en-CA</v>
    <v>a1r1lh</v>
    <v>268435456</v>
    <v>1</v>
    <v>Powered by Refinitiv</v>
    <v>7</v>
    <v>D.R. HORTON, INC. (XNYS:DHI)</v>
    <v>8</v>
    <v>9</v>
    <v>Finance</v>
    <v>5</v>
    <v>199.85</v>
    <v>110.44</v>
    <v>1.3995</v>
    <v>-0.25</v>
    <v>-1.6860000000000001E-4</v>
    <v>-2.1029999999999998E-3</v>
    <v>-0.02</v>
    <v>USD</v>
    <v>D.R. Horton, Inc. is a homebuilding company. The Company constructs and sells homes through its operating divisions in 125 markets across 36 states. The Company’s segments include Homebuilding, Rental, Forestar, Financial Services, and Other. The Homebuilding divisions are primarily engaged in the acquisition and development of land and the construction and sale of residential homes. The Company’s rental segment consists of single-family and multifamily rental operations. The single-family rental operations construct and lease single-family homes within a community and then generally market each community for a bulk sale of rental homes. The Forestar segment is a residential lot development company with operations in 59 markets across 24 states. The Financial services segment provides mortgage financing and title agency services to homebuyers in many of the Company’s homebuilding markets. It also conducts insurance-related operations.</v>
    <v>14766</v>
    <v>New York Stock Exchange</v>
    <v>XNYS</v>
    <v>XNYS</v>
    <v>1341 Horton Circle, ARLINGTON, TX, 76011 US</v>
    <v>119.3</v>
    <v>Homebuilding &amp; Construction Supplies</v>
    <v>Stock</v>
    <v>45800.988730728903</v>
    <v>919</v>
    <v>117.07</v>
    <v>36447060000</v>
    <v>D.R. HORTON, INC.</v>
    <v>D.R. HORTON, INC.</v>
    <v>117.97</v>
    <v>8.9975000000000005</v>
    <v>118.9</v>
    <v>118.65</v>
    <v>118.63</v>
    <v>307181300</v>
    <v>DHI</v>
    <v>D.R. HORTON, INC. (XNYS:DHI)</v>
    <v>2448447</v>
    <v>3289193</v>
    <v>1991</v>
  </rv>
  <rv s="4">
    <v>920</v>
  </rv>
  <rv s="0">
    <v>https://www.bing.com/financeapi/forcetrigger?t=aythxm&amp;q=XNYS%3aVICI&amp;form=skydnc</v>
    <v>Learn more on Bing</v>
  </rv>
  <rv s="5">
    <v>en-CA</v>
    <v>aythxm</v>
    <v>268435456</v>
    <v>1</v>
    <v>Powered by Refinitiv</v>
    <v>7</v>
    <v>VICI PROPERTIES INC. (XNYS:VICI)</v>
    <v>8</v>
    <v>9</v>
    <v>Finance</v>
    <v>5</v>
    <v>34.29</v>
    <v>27.53</v>
    <v>0.73470000000000002</v>
    <v>0.27</v>
    <v>6.6730000000000001E-3</v>
    <v>8.6540000000000002E-3</v>
    <v>0.21</v>
    <v>USD</v>
    <v>VICI Properties Inc. is a real estate investment trust (REIT). The Company is engaged in the business of owning and acquiring gaming, hospitality, wellness, entertainment and leisure destinations, subject to long-term triple net leases. The Company own 93 experiential assets across a geographically diverse portfolio consisting of 54 gaming properties and 39 other experiential properties across the United States and Canada, including Caesars Palace Las Vegas, MGM Grand and the Venetian Resort Las Vegas (the Venetian Resort). The portfolio comprises over 127 million square feet and features approximately 60,300 hotel rooms and over 500 restaurants, bars, nightclubs and sportsbooks. Its properties are occupied by gaming, leisure and hospitality operators under long-term, triple-net lease agreements. The Company also owns four championship golf courses and approximately 33 acres of undeveloped and underdeveloped land adjacent to the Las Vegas Strip.</v>
    <v>27</v>
    <v>New York Stock Exchange</v>
    <v>XNYS</v>
    <v>XNYS</v>
    <v>535 Madison Avenue, 28Th Floor, NEW YORK, NY, 10022 US</v>
    <v>31.56</v>
    <v>Residential &amp; Commercial REIT</v>
    <v>Stock</v>
    <v>45800.998015775003</v>
    <v>922</v>
    <v>31.02</v>
    <v>33254570000</v>
    <v>VICI PROPERTIES INC.</v>
    <v>VICI PROPERTIES INC.</v>
    <v>31.27</v>
    <v>12.447900000000001</v>
    <v>31.2</v>
    <v>31.47</v>
    <v>31.68</v>
    <v>1056707000</v>
    <v>VICI</v>
    <v>VICI PROPERTIES INC. (XNYS:VICI)</v>
    <v>5210416</v>
    <v>6205646</v>
    <v>2017</v>
  </rv>
  <rv s="4">
    <v>923</v>
  </rv>
  <rv s="0">
    <v>https://www.bing.com/financeapi/forcetrigger?t=a1sioc&amp;q=XNYS%3aEXR&amp;form=skydnc</v>
    <v>Learn more on Bing</v>
  </rv>
  <rv s="5">
    <v>en-CA</v>
    <v>a1sioc</v>
    <v>268435456</v>
    <v>1</v>
    <v>Powered by Refinitiv</v>
    <v>7</v>
    <v>EXTRA SPACE STORAGE INC. (XNYS:EXR)</v>
    <v>8</v>
    <v>9</v>
    <v>Finance</v>
    <v>5</v>
    <v>184.87</v>
    <v>121.03</v>
    <v>1.1292</v>
    <v>0.95</v>
    <v>9.1260000000000004E-3</v>
    <v>6.5620000000000001E-3</v>
    <v>1.33</v>
    <v>USD</v>
    <v>Extra Space Storage, Inc. is a self-administered and self-managed real estate investment trust (REIT). The Company owns, operates, manages, provides lending to, acquires, develops and redevelops self-storage properties (stores). Its stores offer month-to-month rental of storage space for personal or business use. Its segments include self-storage operations and tenant reinsurance. Its self-storage operations segment includes rental operations of wholly owned stores. Its tenant reinsurance segment includes the reinsurance of risks relating to the loss of goods stored by tenants in its stores. It owns and/or operates approximately 4,011 self-storage stores in 42 states and Washington, D.C. Its stores comprise approximately 2.8 million units and 308.4 million square feet of rentable space operating under the Extra Space brand. It offers customers a selection of conveniently located and secure storage units across the country, including boat storage, RV storage and business storage.</v>
    <v>8012</v>
    <v>New York Stock Exchange</v>
    <v>XNYS</v>
    <v>XNYS</v>
    <v>2795 Cottonwood Parkway, Suite 400, SALT LAKE CITY, UT, 84121 US</v>
    <v>146.13999999999999</v>
    <v>Residential &amp; Commercial REIT</v>
    <v>Stock</v>
    <v>45800.972507464845</v>
    <v>925</v>
    <v>144.13999999999999</v>
    <v>30925490000</v>
    <v>EXTRA SPACE STORAGE INC.</v>
    <v>EXTRA SPACE STORAGE INC.</v>
    <v>145.13</v>
    <v>33.927900000000001</v>
    <v>144.78</v>
    <v>145.72999999999999</v>
    <v>147.06</v>
    <v>212210900</v>
    <v>EXR</v>
    <v>EXTRA SPACE STORAGE INC. (XNYS:EXR)</v>
    <v>829246</v>
    <v>915702</v>
    <v>2004</v>
  </rv>
  <rv s="4">
    <v>926</v>
  </rv>
  <rv s="0">
    <v>https://www.bing.com/financeapi/forcetrigger?t=a1nyw7&amp;q=XNYS%3aAVB&amp;form=skydnc</v>
    <v>Learn more on Bing</v>
  </rv>
  <rv s="5">
    <v>en-CA</v>
    <v>a1nyw7</v>
    <v>268435456</v>
    <v>1</v>
    <v>Powered by Refinitiv</v>
    <v>7</v>
    <v>AVALONBAY COMMUNITIES, INC. (XNYS:AVB)</v>
    <v>8</v>
    <v>9</v>
    <v>Finance</v>
    <v>5</v>
    <v>239.29</v>
    <v>180.4</v>
    <v>0.87480000000000002</v>
    <v>-1.83</v>
    <v>-1.515E-4</v>
    <v>-9.1559999999999992E-3</v>
    <v>-0.03</v>
    <v>USD</v>
    <v>AvalonBay Communities, Inc. is a real estate investment trust (REIT). The Company develops, redevelops, acquires and manages apartment communities in metropolitan areas in New England, the New York/New Jersey Metro area, the Mid-Atlantic, the Pacific Northwest, and Northern and Southern California, as well as in the Company's expansion regions of Raleigh-Durham and Charlotte, North Carolina, Southeast Florida, Dallas and Austin, Texas, and Denver, Colorado. The Company focuses on metropolitan areas in these regions. The Company's segments include Same Store, Other Stabilized and Development/Redevelopment. The Company owns or holds a direct or indirect ownership interest in operating apartment communities containing apartment homes in 11 states and the District of Columbia. The Company operates under four core brands, which include Avalon, AVA, eaves by Avalon, and Kanso. Its core Avalon brand focuses on upscale apartment living and high-end amenities and services.</v>
    <v>2988</v>
    <v>New York Stock Exchange</v>
    <v>XNYS</v>
    <v>XNYS</v>
    <v>4040 Wilson Boulevard, Ste 1000, ARLINGTON, VA, 22203 US</v>
    <v>199.41</v>
    <v>Residential &amp; Commercial REIT</v>
    <v>Stock</v>
    <v>45800.958333378905</v>
    <v>928</v>
    <v>196.815</v>
    <v>28193170000</v>
    <v>AVALONBAY COMMUNITIES, INC.</v>
    <v>AVALONBAY COMMUNITIES, INC.</v>
    <v>199.4</v>
    <v>24.875299999999999</v>
    <v>199.86</v>
    <v>198.03</v>
    <v>198</v>
    <v>142368200</v>
    <v>AVB</v>
    <v>AVALONBAY COMMUNITIES, INC. (XNYS:AVB)</v>
    <v>882094</v>
    <v>770810</v>
    <v>1995</v>
  </rv>
  <rv s="4">
    <v>929</v>
  </rv>
  <rv s="0">
    <v>http://de.wikipedia.org/wiki/Lennar</v>
    <v>Wikipedia</v>
  </rv>
  <rv s="1">
    <v>0</v>
    <v>931</v>
  </rv>
  <rv s="2">
    <v>6</v>
    <v>https://www.bing.com/th?id=AMMS_53583359b2caf7766f03578d319fe529&amp;qlt=95</v>
    <v>932</v>
    <v>0</v>
    <v>https://www.bing.com/images/search?form=xlimg&amp;q=lennar+corporation</v>
    <v>Image of LENNAR CORPORATION</v>
  </rv>
  <rv s="0">
    <v>https://www.bing.com/financeapi/forcetrigger?t=a1wucw&amp;q=XNYS%3aLEN&amp;form=skydnc</v>
    <v>Learn more on Bing</v>
  </rv>
  <rv s="3">
    <v>en-CA</v>
    <v>a1wucw</v>
    <v>268435456</v>
    <v>1</v>
    <v>Powered by Refinitiv</v>
    <v>0</v>
    <v>LENNAR CORPORATION (XNYS:LEN)</v>
    <v>3</v>
    <v>4</v>
    <v>Finance</v>
    <v>5</v>
    <v>186.22819999999999</v>
    <v>98.420100000000005</v>
    <v>1.3785000000000001</v>
    <v>-0.11</v>
    <v>-3.6129999999999999E-3</v>
    <v>-1.0449999999999999E-3</v>
    <v>-0.38</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others. Its Homebuilding segments primarily include the construction and sale of single-family attached and detached homes, as well as the purchase, development and sale of residential land directly and through its unconsolidated entities. The Company's Financial Services segment primarily provides mortgage financing, title and closing services primarily for buyers of its homes, as well as property and casualty insurance. The Company’s Multifamily segment is involved in the development, construction and property management of multifamily rental properties. its Lennar Other segment includes fund investments.</v>
    <v>13265</v>
    <v>New York Stock Exchange</v>
    <v>XNYS</v>
    <v>XNYS</v>
    <v>5505 WATERFORD DISTRICT DRIVE, MIAMI, FL, 33126 US</v>
    <v>105.45</v>
    <v>933</v>
    <v>Homebuilding &amp; Construction Supplies</v>
    <v>Stock</v>
    <v>45800.994051967187</v>
    <v>934</v>
    <v>103.76</v>
    <v>27607740000</v>
    <v>LENNAR CORPORATION</v>
    <v>LENNAR CORPORATION</v>
    <v>104.16</v>
    <v>7.6669</v>
    <v>105.29</v>
    <v>105.18</v>
    <v>104.8</v>
    <v>263794200</v>
    <v>LEN</v>
    <v>LENNAR CORPORATION (XNYS:LEN)</v>
    <v>2072698</v>
    <v>2367064</v>
    <v>1991</v>
  </rv>
  <rv s="4">
    <v>935</v>
  </rv>
  <rv s="0">
    <v>https://www.bing.com/financeapi/forcetrigger?t=a25m77&amp;q=XNYS%3aVTR&amp;form=skydnc</v>
    <v>Learn more on Bing</v>
  </rv>
  <rv s="5">
    <v>en-CA</v>
    <v>a25m77</v>
    <v>268435456</v>
    <v>1</v>
    <v>Powered by Refinitiv</v>
    <v>7</v>
    <v>VENTAS, INC. (XNYS:VTR)</v>
    <v>8</v>
    <v>9</v>
    <v>Finance</v>
    <v>5</v>
    <v>71.36</v>
    <v>46.66</v>
    <v>0.93459999999999999</v>
    <v>0.47</v>
    <v>-1.7467E-2</v>
    <v>7.3839999999999991E-3</v>
    <v>-1.1200000000000001</v>
    <v>USD</v>
    <v>Ventas, Inc. is a real estate investment trust (REIT). The Company holds a portfolio that includes senior housing communities, outpatient medical buildings, research centers, hospitals and healthcare facilities located in North America and the United Kingdom. It owns or has investments in approximately 1,387 properties. It operates in three segments: senior housing operating portfolio (SHOP), outpatient medical and research portfolio (OM&amp;R), and triple-net leased properties (NNN). In its SHOP segment, it owns and invests in senior housing communities. It engages third-party managers to operate the communities on its behalf. In its OM&amp;R segment, it primarily acquires, owns, develops, leases and manages outpatient medical buildings and research centers. In its NNN segment, it invests in and owns senior housing communities, skilled nursing facilities (SNFs), long-term acute care facilities (LTACs), freestanding inpatient rehabilitation facilities (IRFs) and other healthcare facilities.</v>
    <v>498</v>
    <v>New York Stock Exchange</v>
    <v>XNYS</v>
    <v>XNYS</v>
    <v>300 N Lasalle Street, Suite 1600, CHICAGO, IL, 60654 US</v>
    <v>64.474999999999994</v>
    <v>Residential &amp; Commercial REIT</v>
    <v>Stock</v>
    <v>45800.980359825779</v>
    <v>937</v>
    <v>63.68</v>
    <v>28937250000</v>
    <v>VENTAS, INC.</v>
    <v>VENTAS, INC.</v>
    <v>63.97</v>
    <v>192.2903</v>
    <v>63.65</v>
    <v>64.12</v>
    <v>63</v>
    <v>451298300</v>
    <v>VTR</v>
    <v>VENTAS, INC. (XNYS:VTR)</v>
    <v>1797578</v>
    <v>2870843</v>
    <v>1987</v>
  </rv>
  <rv s="4">
    <v>938</v>
  </rv>
  <rv s="0">
    <v>https://www.bing.com/financeapi/forcetrigger?t=a1s4yc&amp;q=XNYS%3aEQR&amp;form=skydnc</v>
    <v>Learn more on Bing</v>
  </rv>
  <rv s="5">
    <v>en-CA</v>
    <v>a1s4yc</v>
    <v>268435456</v>
    <v>1</v>
    <v>Powered by Refinitiv</v>
    <v>7</v>
    <v>EQUITY RESIDENTIAL (XNYS:EQR)</v>
    <v>8</v>
    <v>9</v>
    <v>Finance</v>
    <v>5</v>
    <v>78.834999999999994</v>
    <v>59.41</v>
    <v>0.92069999999999996</v>
    <v>-0.69</v>
    <v>-2.3813000000000001E-2</v>
    <v>-1.0102E-2</v>
    <v>-1.61</v>
    <v>USD</v>
    <v>Equity Residential is a real estate investment trust. The Company is focused on the acquisition, development, and management of residential properties located in and around cities. The Company’s primary business is the acquisition, development, and management of multifamily residential properties, which includes the generation of rental and other related income through the leasing of apartment units to residents. The Company owns and operates rental apartment properties, with a presence in Boston, New York, Washington, D.C., Southern California (including Los Angeles, Orange County and San Diego), San Francisco and Seattle, and an expanding presence in Denver, Atlanta, Dallas/Ft. Worth and Austin. The Company owns investments in approximately 311 properties located in 10 states consisting of over 84,249 apartment units. ERP Operating Limited Partnership (ERPOP) conducts the multifamily residential property business of Equity Residential.</v>
    <v>2500</v>
    <v>New York Stock Exchange</v>
    <v>XNYS</v>
    <v>XNYS</v>
    <v>Two North Riverside Plaza, Suite 400, CHICAGO, IL, 60606 US</v>
    <v>68.430000000000007</v>
    <v>Residential &amp; Commercial REIT</v>
    <v>Stock</v>
    <v>45800.958333367969</v>
    <v>940</v>
    <v>66.95</v>
    <v>25687990000</v>
    <v>EQUITY RESIDENTIAL</v>
    <v>EQUITY RESIDENTIAL</v>
    <v>67.98</v>
    <v>26.132400000000001</v>
    <v>68.3</v>
    <v>67.61</v>
    <v>66</v>
    <v>379943700</v>
    <v>EQR</v>
    <v>EQUITY RESIDENTIAL (XNYS:EQR)</v>
    <v>1354822</v>
    <v>2035689</v>
    <v>1992</v>
  </rv>
  <rv s="4">
    <v>941</v>
  </rv>
  <rv s="0">
    <v>https://www.bing.com/financeapi/forcetrigger?t=a1vrec&amp;q=XNYS%3aIRM&amp;form=skydnc</v>
    <v>Learn more on Bing</v>
  </rv>
  <rv s="5">
    <v>en-CA</v>
    <v>a1vrec</v>
    <v>268435456</v>
    <v>1</v>
    <v>Powered by Refinitiv</v>
    <v>7</v>
    <v>IRON MOUNTAIN INCORPORATED (XNYS:IRM)</v>
    <v>8</v>
    <v>9</v>
    <v>Finance</v>
    <v>5</v>
    <v>130.24</v>
    <v>72.33</v>
    <v>1.1047</v>
    <v>0.41</v>
    <v>0</v>
    <v>4.28E-3</v>
    <v>0</v>
    <v>USD</v>
    <v>Iron Mountain Incorporated is a provider of information management services. The Company offers a range of services across digital transformation, information security, data center and asset lifecycle management (ALM) needs. The Company helps businesses to unlock value and intelligence from their stored digital and physical assets. It serves to protect its customers’ work. The Company operates through two segments: Global Records and Information Management (Global RIM) Business and Global Data Center Business. The Global RIM Business segment offers various offerings, including records management, data management, global digital solutions, secure shredding, entertainment services, and consumer storage. Its Global Data Center Business segment provides data center facilities and capacity to protect mission-critical assets and ensure the continued operation of its customers’ information technology (IT) infrastructure with flexible data center options.</v>
    <v>28850</v>
    <v>New York Stock Exchange</v>
    <v>XNYS</v>
    <v>XNYS</v>
    <v>85 New Hampshire Avenue, Suite 150, Pease International Tradeport, PORTSMOUTH, NH, 03801 US</v>
    <v>96.42</v>
    <v>Residential &amp; Commercial REIT</v>
    <v>Stock</v>
    <v>45800.96518923594</v>
    <v>943</v>
    <v>95.177499999999995</v>
    <v>28378890000</v>
    <v>IRON MOUNTAIN INCORPORATED</v>
    <v>IRON MOUNTAIN INCORPORATED</v>
    <v>95.57</v>
    <v>233.77260000000001</v>
    <v>95.8</v>
    <v>96.21</v>
    <v>96.21</v>
    <v>294968200</v>
    <v>IRM</v>
    <v>IRON MOUNTAIN INCORPORATED (XNYS:IRM)</v>
    <v>911087</v>
    <v>1538858</v>
    <v>2014</v>
  </rv>
  <rv s="4">
    <v>944</v>
  </rv>
  <rv s="0">
    <v>https://www.bing.com/financeapi/forcetrigger?t=a22i27&amp;q=XNAS%3aSBAC&amp;form=skydnc</v>
    <v>Learn more on Bing</v>
  </rv>
  <rv s="5">
    <v>en-CA</v>
    <v>a22i27</v>
    <v>268435456</v>
    <v>1</v>
    <v>Powered by Refinitiv</v>
    <v>7</v>
    <v>SBA Communications Corporation (XNAS:SBAC)</v>
    <v>8</v>
    <v>9</v>
    <v>Finance</v>
    <v>5</v>
    <v>252.64</v>
    <v>185.44</v>
    <v>0.79120000000000001</v>
    <v>1.25</v>
    <v>-4.0959999999999998E-3</v>
    <v>5.476E-3</v>
    <v>-0.94</v>
    <v>USD</v>
    <v>SBA Communications Corporation is an independent owner and operator of wireless communications infrastructure including towers, buildings, rooftops, distributed antenna systems (DAS) and small cells. Its primary focus is the leasing of antenna space on its multi-tenant towers to a variety of wireless service providers under long-term lease contracts in the United States, South America, Central America, Canada, and Africa. Its segments include Domestic Site Leasing, International Site Leasing and Site Development. The Domestic Site Leasing segment leases to T-Mobile, AT&amp;T Wireless, and Verizon Wireless. It owns over 17,464 sites in the United States and its territories. The International Site Leasing segment owns and operates over 22,285 towers in 13 international markets throughout South America, Central America, Canada, and Africa. Site development services include network pre-design; site audits; tower and related site construction; support in leasing of the location, and others.</v>
    <v>1720</v>
    <v>Nasdaq Stock Market</v>
    <v>XNAS</v>
    <v>XNAS</v>
    <v>8051 Congress Avenue, BOCA RATON, FL, 33487 US</v>
    <v>231.11</v>
    <v>Residential &amp; Commercial REIT</v>
    <v>Stock</v>
    <v>45800.864049767966</v>
    <v>946</v>
    <v>227.56</v>
    <v>24662330000</v>
    <v>SBA Communications Corporation</v>
    <v>SBA Communications Corporation</v>
    <v>229.49</v>
    <v>30.214200000000002</v>
    <v>228.27</v>
    <v>229.52</v>
    <v>228.58</v>
    <v>107451800</v>
    <v>SBAC</v>
    <v>SBA Communications Corporation (XNAS:SBAC)</v>
    <v>400822</v>
    <v>972511</v>
    <v>2016</v>
  </rv>
  <rv s="4">
    <v>947</v>
  </rv>
  <rv s="0">
    <v>https://www.bing.com/financeapi/forcetrigger?t=a1yw1h&amp;q=XNYS%3aNVR&amp;form=skydnc</v>
    <v>Learn more on Bing</v>
  </rv>
  <rv s="5">
    <v>en-CA</v>
    <v>a1yw1h</v>
    <v>268435456</v>
    <v>1</v>
    <v>Powered by Refinitiv</v>
    <v>7</v>
    <v>NVR, Inc. (XNYS:NVR)</v>
    <v>8</v>
    <v>9</v>
    <v>Finance</v>
    <v>5</v>
    <v>9964.77</v>
    <v>6562.8531000000003</v>
    <v>1.0078</v>
    <v>-4.8099999999999996</v>
    <v>0</v>
    <v>-6.8019999999999995E-4</v>
    <v>0</v>
    <v>USD</v>
    <v>NVR, Inc. is engaged in the construction and sale of single-family detached homes, townhomes, and condominium buildings. The Company operates through two segments: homebuilding and mortgage banking. The homebuilding operations primarily construct and sell single-family detached homes, townhomes and condominium buildings under three trade names: Ryan Homes, NVHomes and Heartland Homes, and operate in 36 metropolitan areas in 16 states and Washington, District of Columbia (D.C.). Its mortgage banking operations primarily operate in the homebuilding operations market. Its mortgage banking business consists of origination fees, gains on sales of loans, and title fees. The homebuilding segments are comprised of operating divisions, such as Mid Atlantic, North East, Mid East and South East. Its Mid Atlantic divisions operate in Maryland, Virginia, West Virginia, Delaware and Washington, District of Columbia (D.C.). Its North East division operates in New Jersey and Eastern Pennsylvania.</v>
    <v>7000</v>
    <v>New York Stock Exchange</v>
    <v>XNYS</v>
    <v>XNYS</v>
    <v>SUITE 500, 11700 PLAZA AMERICA DR., RESTON, VA, 20190 US</v>
    <v>7103.18</v>
    <v>Homebuilding &amp; Construction Supplies</v>
    <v>Stock</v>
    <v>45800.958333356248</v>
    <v>949</v>
    <v>7000</v>
    <v>20660930000</v>
    <v>NVR, Inc.</v>
    <v>NVR, Inc.</v>
    <v>7000</v>
    <v>14.5542</v>
    <v>7071.2</v>
    <v>7066.39</v>
    <v>7066.39</v>
    <v>2923830</v>
    <v>NVR</v>
    <v>NVR, Inc. (XNYS:NVR)</v>
    <v>18613</v>
    <v>17771</v>
    <v>1993</v>
  </rv>
  <rv s="4">
    <v>950</v>
  </rv>
  <rv s="0">
    <v>https://www.bing.com/financeapi/forcetrigger?t=a1zutc&amp;q=XNYS%3aPHM&amp;form=skydnc</v>
    <v>Learn more on Bing</v>
  </rv>
  <rv s="5">
    <v>en-CA</v>
    <v>a1zutc</v>
    <v>268435456</v>
    <v>1</v>
    <v>Powered by Refinitiv</v>
    <v>7</v>
    <v>PULTEGROUP, INC. (XNYS:PHM)</v>
    <v>8</v>
    <v>9</v>
    <v>Finance</v>
    <v>5</v>
    <v>149.47</v>
    <v>88.07</v>
    <v>1.3225</v>
    <v>-0.37</v>
    <v>1.9350000000000001E-3</v>
    <v>-3.7530000000000003E-3</v>
    <v>0.19</v>
    <v>USD</v>
    <v>PulteGroup, Inc. is a homebuilder in the United States. The Company's segments include Homebuilding and Financial Services. Its Homebuilding operations involve acquisition and development of land primarily for residential purposes within the United States and the construction of housing on such land. Its financial services business segment includes mortgage banking, title, and insurance agency operations, through Pulte Mortgage LLC (Pulte Mortgage) and other subsidiaries. Pulte Mortgage arranges financing through the origination of mortgage loans primarily for the benefit of its homebuyers. Its Homebuilding operations are aggregated into six segments: Northeast, Southeast, Florida, Midwest, Texas and West. The Company, through its brand portfolio that includes Centex, Pulte Homes, Del Webb, DiVosta Homes, American West and John Wieland Homes and Neighborhoods, offers a variety of home designs with varying levels of options and amenities to its customer groups.</v>
    <v>6793</v>
    <v>New York Stock Exchange</v>
    <v>XNYS</v>
    <v>XNYS</v>
    <v>3350 Peachtree Road Northeast, Suite 1500, ATLANTA, GA, 30326 US</v>
    <v>98.6</v>
    <v>Homebuilding &amp; Construction Supplies</v>
    <v>Stock</v>
    <v>45800.984275625</v>
    <v>952</v>
    <v>97.01</v>
    <v>19683950000</v>
    <v>PULTEGROUP, INC.</v>
    <v>PULTEGROUP, INC.</v>
    <v>97.36</v>
    <v>6.9539999999999997</v>
    <v>98.58</v>
    <v>98.21</v>
    <v>98.4</v>
    <v>200427200</v>
    <v>PHM</v>
    <v>PULTEGROUP, INC. (XNYS:PHM)</v>
    <v>1389747</v>
    <v>1933925</v>
    <v>1987</v>
  </rv>
  <rv s="4">
    <v>953</v>
  </rv>
  <rv s="0">
    <v>https://www.bing.com/financeapi/forcetrigger?t=a264qh&amp;q=XNYS%3aWY&amp;form=skydnc</v>
    <v>Learn more on Bing</v>
  </rv>
  <rv s="5">
    <v>en-CA</v>
    <v>a264qh</v>
    <v>268435456</v>
    <v>1</v>
    <v>Powered by Refinitiv</v>
    <v>7</v>
    <v>WEYERHAEUSER COMPANY (XNYS:WY)</v>
    <v>8</v>
    <v>9</v>
    <v>Finance</v>
    <v>5</v>
    <v>34.024999999999999</v>
    <v>24.1</v>
    <v>1.1716</v>
    <v>-0.02</v>
    <v>9.1120000000000003E-3</v>
    <v>-7.9210000000000001E-4</v>
    <v>0.22989999999999999</v>
    <v>USD</v>
    <v>Weyerhaeuser Company is a real estate investment trust. The Company is a private owner of timberlands and owns or controls approximately 10.4 million acres of timberlands in the United States and manages additional timberlands under long-term licenses in Canada. Its segments include Timberlands, Real Estate, Energy and Natural Resources (Real Estate &amp; ENR), and Wood Products. The Timberlands segment includes logs, timber, recreational leases, and other products. The Real Estate &amp; ENR segment includes the sales of timberlands and rights to explore for and extract hard minerals, construction materials, natural gas production, wind and solar. The Wood Products include structural lumber, oriented strand board, engineered wood products, and building materials distribution. Its products are primarily supplied to the residential, multi-family, repair and remodel, industrial and light commercial markets. The Company operates over 34 manufacturing facilities in the United States and Canada.</v>
    <v>9440</v>
    <v>New York Stock Exchange</v>
    <v>XNYS</v>
    <v>XNYS</v>
    <v>220 Occidental Avenue South, SEATTLE, WA, 98104 US</v>
    <v>25.29</v>
    <v>Residential &amp; Commercial REIT</v>
    <v>Stock</v>
    <v>45800.958333333336</v>
    <v>955</v>
    <v>24.92</v>
    <v>18298640000</v>
    <v>WEYERHAEUSER COMPANY</v>
    <v>WEYERHAEUSER COMPANY</v>
    <v>24.95</v>
    <v>50.380099999999999</v>
    <v>25.25</v>
    <v>25.23</v>
    <v>25.459900000000001</v>
    <v>725273000</v>
    <v>WY</v>
    <v>WEYERHAEUSER COMPANY (XNYS:WY)</v>
    <v>3343383</v>
    <v>3855182</v>
    <v>1900</v>
  </rv>
  <rv s="4">
    <v>956</v>
  </rv>
  <rv s="0">
    <v>https://www.bing.com/financeapi/forcetrigger?t=a1x8z2&amp;q=XNYS%3aMAA&amp;form=skydnc</v>
    <v>Learn more on Bing</v>
  </rv>
  <rv s="5">
    <v>en-CA</v>
    <v>a1x8z2</v>
    <v>268435456</v>
    <v>1</v>
    <v>Powered by Refinitiv</v>
    <v>7</v>
    <v>MID-AMERICA APARTMENT COMMUNITIES, INC. (XNYS:MAA)</v>
    <v>8</v>
    <v>9</v>
    <v>Finance</v>
    <v>5</v>
    <v>173.376</v>
    <v>126.77</v>
    <v>0.78359999999999996</v>
    <v>-1.65</v>
    <v>2.0031E-2</v>
    <v>-1.0685999999999999E-2</v>
    <v>3.06</v>
    <v>USD</v>
    <v>Mid-America Apartment Communities, Inc. is a multifamily-focused, self-administered and self-managed real estate investment trust. The Company owns, operates, acquires and selectively develops apartment communities primarily located in the Southeast, Southwest and Mid-Atlantic regions of the United States. Its segments include Same Store and Non-Same Store and Other. The Same Store segment represents those apartment communities that have been owned and stabilized for at least 12 months as of the first day of the calendar year. The Non-Same Store and Other segment includes recently acquired communities, communities being developed or on lease-up, communities that have been disposed of or identified for disposition and others. The Non-Same Store and Other segment also includes non-multifamily activities and expenses related to severe weather events. It has ownership interest in apartment units, including communities in development, across 16 states and the District of Columbia.</v>
    <v>2532</v>
    <v>New York Stock Exchange</v>
    <v>XNYS</v>
    <v>XNYS</v>
    <v>6815 Poplar Avenue, Suite 500, GERMANTOWN, TN, 38138 US</v>
    <v>154.52000000000001</v>
    <v>Residential &amp; Commercial REIT</v>
    <v>Stock</v>
    <v>45800.965641365627</v>
    <v>958</v>
    <v>152.14500000000001</v>
    <v>17881740000</v>
    <v>MID-AMERICA APARTMENT COMMUNITIES, INC.</v>
    <v>MID-AMERICA APARTMENT COMMUNITIES, INC.</v>
    <v>154.46</v>
    <v>32.188899999999997</v>
    <v>154.41</v>
    <v>152.76</v>
    <v>155.82</v>
    <v>117057700</v>
    <v>MAA</v>
    <v>MID-AMERICA APARTMENT COMMUNITIES, INC. (XNYS:MAA)</v>
    <v>659325</v>
    <v>777266</v>
    <v>1993</v>
  </rv>
  <rv s="4">
    <v>959</v>
  </rv>
  <rv s="0">
    <v>https://www.bing.com/financeapi/forcetrigger?t=a1s9dm&amp;q=XNYS%3aESS&amp;form=skydnc</v>
    <v>Learn more on Bing</v>
  </rv>
  <rv s="5">
    <v>en-CA</v>
    <v>a1s9dm</v>
    <v>268435456</v>
    <v>1</v>
    <v>Powered by Refinitiv</v>
    <v>7</v>
    <v>ESSEX PROPERTY TRUST, INC. (XNYS:ESS)</v>
    <v>8</v>
    <v>9</v>
    <v>Finance</v>
    <v>5</v>
    <v>317.73</v>
    <v>243.85</v>
    <v>0.79469999999999996</v>
    <v>-4.29</v>
    <v>-5.3439999999999998E-3</v>
    <v>-1.5671000000000001E-2</v>
    <v>-1.44</v>
    <v>USD</v>
    <v>Essex Property Trust, Inc. is a self-administered and self-managed real estate investment trust. The Company acquires, develops, redevelops, and manages apartment communities in selected residential areas located on the West Coast of the United States. The Company defines its operating segments as the three geographical regions in which its communities are located: Southern California, Northern California, and Seattle metro. It has ownership interests in approximately 257 apartment communities comprising over 62,000 apartment homes. The Company owns all of its interests in its real estate and other investments directly or indirectly through Essex Portfolio, L.P. It invests primarily in apartment communities that are located in predominantly coastal markets within Southern California, Northern California, and the Seattle metropolitan area. It focuses on acquiring and developing apartment communities in supply constrained markets and redeveloping its existing communities.</v>
    <v>1715</v>
    <v>New York Stock Exchange</v>
    <v>XNYS</v>
    <v>XNYS</v>
    <v>Suite 200, 1100 Park Place, SAN MATEO, CA, 94403 US</v>
    <v>272.99</v>
    <v>Residential &amp; Commercial REIT</v>
    <v>Stock</v>
    <v>45800.986868495311</v>
    <v>961</v>
    <v>269.10000000000002</v>
    <v>17333810000</v>
    <v>ESSEX PROPERTY TRUST, INC.</v>
    <v>ESSEX PROPERTY TRUST, INC.</v>
    <v>272.87</v>
    <v>26.198699999999999</v>
    <v>273.76</v>
    <v>269.47000000000003</v>
    <v>268.02999999999997</v>
    <v>64325580</v>
    <v>ESS</v>
    <v>ESSEX PROPERTY TRUST, INC. (XNYS:ESS)</v>
    <v>411902</v>
    <v>404098</v>
    <v>1994</v>
  </rv>
  <rv s="4">
    <v>962</v>
  </rv>
  <rv s="0">
    <v>https://www.bing.com/financeapi/forcetrigger?t=a1vn8m&amp;q=XNYS%3aINVH&amp;form=skydnc</v>
    <v>Learn more on Bing</v>
  </rv>
  <rv s="5">
    <v>en-CA</v>
    <v>a1vn8m</v>
    <v>268435456</v>
    <v>1</v>
    <v>Powered by Refinitiv</v>
    <v>7</v>
    <v>INVITATION HOMES INC. (XNYS:INVH)</v>
    <v>8</v>
    <v>9</v>
    <v>Finance</v>
    <v>5</v>
    <v>37.799999999999997</v>
    <v>29.37</v>
    <v>0.82720000000000005</v>
    <v>-0.09</v>
    <v>3.4535000000000003E-2</v>
    <v>-2.7189999999999996E-3</v>
    <v>1.1399999999999999</v>
    <v>USD</v>
    <v>Invitation Homes Inc. is a real estate investment trust that conducts its operations through Invitation Homes Operating Partnership LP (INVH LP). INVH LP is engaged in owning, renovating, leasing, and operating single-family residential properties. Through THR Property Management L.P., a subsidiary of INVH LP, and its wholly owned subsidiaries (collectively, the Manager), it provides all management and other administrative services. The Manager provides professional property and asset management services to portfolio owners of single-family homes for lease. It has a vertically integrated operating platform that enables the Company to acquire, renovate, lease, maintain, and manage both the homes it owns and those it manages on behalf of others. Its business activity includes property operations, marketing and leasing, digital marketing initiatives and branding, resident relations and property maintenance, and investment and asset management. It has approximately 85,138 homes for lease.</v>
    <v>1750</v>
    <v>New York Stock Exchange</v>
    <v>XNYS</v>
    <v>XNYS</v>
    <v>5420 Lbj Freeway, Suite 600, DALLAS, TX, 75240 US</v>
    <v>33.22</v>
    <v>Residential &amp; Commercial REIT</v>
    <v>Stock</v>
    <v>45800.958333356248</v>
    <v>964</v>
    <v>32.729999999999997</v>
    <v>20231300000</v>
    <v>INVITATION HOMES INC.</v>
    <v>INVITATION HOMES INC.</v>
    <v>33.1</v>
    <v>42.6113</v>
    <v>33.1</v>
    <v>33.01</v>
    <v>34.15</v>
    <v>612883900</v>
    <v>INVH</v>
    <v>INVITATION HOMES INC. (XNYS:INVH)</v>
    <v>2680056</v>
    <v>2878296</v>
    <v>2017</v>
  </rv>
  <rv s="4">
    <v>965</v>
  </rv>
  <rv s="0">
    <v>https://www.bing.com/financeapi/forcetrigger?t=a1xam7&amp;q=XNYS%3aMAS&amp;form=skydnc</v>
    <v>Learn more on Bing</v>
  </rv>
  <rv s="5">
    <v>en-CA</v>
    <v>a1xam7</v>
    <v>268435456</v>
    <v>1</v>
    <v>Powered by Refinitiv</v>
    <v>7</v>
    <v>MASCO CORPORATION (XNYS:MAS)</v>
    <v>8</v>
    <v>9</v>
    <v>Finance</v>
    <v>5</v>
    <v>86.7</v>
    <v>56.55</v>
    <v>1.2044999999999999</v>
    <v>-0.57999999999999996</v>
    <v>-6.9589999999999999E-3</v>
    <v>-9.299E-3</v>
    <v>-0.43</v>
    <v>USD</v>
    <v>Masco Corporation is engaged in designing, manufacturing and distributing branded home improvement and building products. The Company's portfolio of brands includes Behr paint; Delta and hansgrohe faucets, bath and shower fixtures; Liberty branded decorative and functional hardware, and HotSpring spas. Its segments include Plumbing Products and Decorative Architectural Products. The Plumbing Products segment principally includes faucets, plumbing system components and valves, showerheads and handheld showers, bath hardware and accessories, water filtration systems, sinks, kitchen accessories, spas, exercise pools, aquatic fitness systems, and saunas. The Decorative Architectural Products segment primarily includes architectural coatings, including paints, primers, specialty coatings, stains and waterproofing products, as well as paint applicators and accessories. Its products are sold primarily for repair and remodeling activity and, to a lesser extent, new home construction.</v>
    <v>18000</v>
    <v>New York Stock Exchange</v>
    <v>XNYS</v>
    <v>XNYS</v>
    <v>17450 College Parkway, LIVONIA, MI, 48152 US</v>
    <v>62.03</v>
    <v>Homebuilding &amp; Construction Supplies</v>
    <v>Stock</v>
    <v>45800.958333344533</v>
    <v>967</v>
    <v>61.15</v>
    <v>13034110000</v>
    <v>MASCO CORPORATION</v>
    <v>MASCO CORPORATION</v>
    <v>61.33</v>
    <v>17.066099999999999</v>
    <v>62.37</v>
    <v>61.79</v>
    <v>61.36</v>
    <v>210942000</v>
    <v>MAS</v>
    <v>MASCO CORPORATION (XNYS:MAS)</v>
    <v>1678106</v>
    <v>2670344</v>
    <v>1962</v>
  </rv>
  <rv s="4">
    <v>968</v>
  </rv>
  <rv s="0">
    <v>https://www.bing.com/financeapi/forcetrigger?t=a1np4c&amp;q=XNYS%3aARE&amp;form=skydnc</v>
    <v>Learn more on Bing</v>
  </rv>
  <rv s="5">
    <v>en-CA</v>
    <v>a1np4c</v>
    <v>268435456</v>
    <v>1</v>
    <v>Powered by Refinitiv</v>
    <v>7</v>
    <v>ALEXANDRIA REAL ESTATE EQUITIES, INC. (XNYS:ARE)</v>
    <v>8</v>
    <v>9</v>
    <v>Finance</v>
    <v>5</v>
    <v>130.13999999999999</v>
    <v>67.37</v>
    <v>1.2806999999999999</v>
    <v>-0.78</v>
    <v>6.4870000000000006E-3</v>
    <v>-1.1369000000000001E-2</v>
    <v>0.44</v>
    <v>USD</v>
    <v>Alexandria Real Estate Equities, Inc. is a life science real estate investment trust. The Company is an owner, operator and developer of collaborative life science, agricultural technology (agtech), and advanced technology mega campuses in AAA innovation cluster locations, including Greater Boston, the San Francisco Bay Area, New York City, San Diego, Seattle, Maryland, and Research Triangle. The Company, through its venture capital platform, provides strategic capital to life science, agrifoodtech, climate innovation, and technology companies. Its tenants include multinational pharmaceutical companies; public and private biotechnology companies; life science product, service and medical device companies; digital health, technology, and agtech companies; academic and medical research institutions; United States government research agencies; non-profit organizations, and venture capital firms. It has a Labspace asset base predominantly concentrated in markets with barriers to entry.</v>
    <v>552</v>
    <v>New York Stock Exchange</v>
    <v>XNYS</v>
    <v>XNYS</v>
    <v>26 North Euclid Avenue, PASADENA, CA, 91101 US</v>
    <v>68.48</v>
    <v>Residential &amp; Commercial REIT</v>
    <v>Stock</v>
    <v>45800.992838876562</v>
    <v>970</v>
    <v>67.37</v>
    <v>11733830000</v>
    <v>ALEXANDRIA REAL ESTATE EQUITIES, INC.</v>
    <v>ALEXANDRIA REAL ESTATE EQUITIES, INC.</v>
    <v>67.8</v>
    <v>90.077200000000005</v>
    <v>68.61</v>
    <v>67.83</v>
    <v>68.27</v>
    <v>172988900</v>
    <v>ARE</v>
    <v>ALEXANDRIA REAL ESTATE EQUITIES, INC. (XNYS:ARE)</v>
    <v>1310458</v>
    <v>1805437</v>
    <v>1994</v>
  </rv>
  <rv s="4">
    <v>971</v>
  </rv>
  <rv s="0">
    <v>https://www.bing.com/financeapi/forcetrigger?t=a1olgh&amp;q=XNYS%3aBLDR&amp;form=skydnc</v>
    <v>Learn more on Bing</v>
  </rv>
  <rv s="5">
    <v>en-CA</v>
    <v>a1olgh</v>
    <v>268435456</v>
    <v>1</v>
    <v>Powered by Refinitiv</v>
    <v>7</v>
    <v>BUILDERS FIRSTSOURCE, INC. (XNYS:BLDR)</v>
    <v>8</v>
    <v>9</v>
    <v>Finance</v>
    <v>5</v>
    <v>203.14</v>
    <v>103.81</v>
    <v>1.7396</v>
    <v>-1.51</v>
    <v>-3.9689999999999994E-3</v>
    <v>-1.3747000000000001E-2</v>
    <v>-0.43</v>
    <v>USD</v>
    <v>Builders FirstSource, Inc. is a supplier of structural building products, value-added components and services to the professional market for single-family and multi-family construction and repair and remodeling. The Company provides customers an integrated homebuilding solution, offering manufacturing, supply, delivery, and installation of a full range of structural and related building products. The Company groups its building products and services into four product categories: Manufactured Products; Windows, Doors and Millwork; Specialty Building Products and Services, and Lumber and Lumber Sheet Goods. Its manufactured products are factory-built substitutes for job-site framing and include wood floor and roof trusses, wall panels and engineered wood. Its specialty building products and services consist of various products, including vinyl, composite and wood siding, exterior trim, metal studs, cement and insulation. The Company operates in approximately 43 states with 590 locations.</v>
    <v>29000</v>
    <v>New York Stock Exchange</v>
    <v>XNYS</v>
    <v>XNYS</v>
    <v>6031 CONNECTION DR., STE. 400, IRVING, TX, 75039 US</v>
    <v>108.76</v>
    <v>Homebuilding &amp; Construction Supplies</v>
    <v>Stock</v>
    <v>45800.998927245309</v>
    <v>973</v>
    <v>106.56</v>
    <v>11972070000</v>
    <v>BUILDERS FIRSTSOURCE, INC.</v>
    <v>BUILDERS FIRSTSOURCE, INC.</v>
    <v>106.56</v>
    <v>14.1013</v>
    <v>109.84</v>
    <v>108.33</v>
    <v>107.9</v>
    <v>110514800</v>
    <v>BLDR</v>
    <v>BUILDERS FIRSTSOURCE, INC. (XNYS:BLDR)</v>
    <v>1382532</v>
    <v>2014310</v>
    <v>1998</v>
  </rv>
  <rv s="4">
    <v>974</v>
  </rv>
  <rv s="0">
    <v>https://www.bing.com/financeapi/forcetrigger?t=a1wifr&amp;q=XNYS%3aKIM&amp;form=skydnc</v>
    <v>Learn more on Bing</v>
  </rv>
  <rv s="5">
    <v>en-CA</v>
    <v>a1wifr</v>
    <v>268435456</v>
    <v>1</v>
    <v>Powered by Refinitiv</v>
    <v>7</v>
    <v>KIMCO REALTY CORPORATION. (XNYS:KIM)</v>
    <v>8</v>
    <v>9</v>
    <v>Finance</v>
    <v>5</v>
    <v>25.83</v>
    <v>17.93</v>
    <v>1.2871999999999999</v>
    <v>-0.13</v>
    <v>-7.4219999999999998E-3</v>
    <v>-6.3080000000000002E-3</v>
    <v>-0.152</v>
    <v>USD</v>
    <v>Kimco Realty Corporation is a real estate investment trust (REIT) and owner and operator of open-air, grocery-anchored shopping centers and mixed-use properties in the United States. The Company's portfolio is primarily concentrated in the first-ring suburbs of the major metropolitan markets, including high-barrier-to-entry coastal markets and rapidly expanding Sun Belt cities. Its tenant mix is focused on essential, necessity-based goods and services that drive multiple shopping trips per week. It specializes in shopping center ownership, management, acquisitions, and value-enhancing redevelopment activities. Its properties &amp; leasing services include finding available space, signature series, re/development, specialty leasing, leasing programs, acquisitions &amp; dispositions, and preferred equity &amp; mezzanine financing. The Company has interests in approximately 568 United States shopping center properties, aggregating 101 million square feet of gross leasable area, located in 30 states.</v>
    <v>717</v>
    <v>New York Stock Exchange</v>
    <v>XNYS</v>
    <v>XNYS</v>
    <v>500 North Broadway, Suite 201, P.O. Box 9010, JERICHO, NY, 11753 US</v>
    <v>20.55</v>
    <v>Residential &amp; Commercial REIT</v>
    <v>Stock</v>
    <v>45800.985290115626</v>
    <v>976</v>
    <v>20.350000000000001</v>
    <v>13854640000</v>
    <v>KIMCO REALTY CORPORATION.</v>
    <v>KIMCO REALTY CORPORATION.</v>
    <v>20.43</v>
    <v>37.367400000000004</v>
    <v>20.61</v>
    <v>20.48</v>
    <v>20.327999999999999</v>
    <v>676496300</v>
    <v>KIM</v>
    <v>KIMCO REALTY CORPORATION. (XNYS:KIM)</v>
    <v>2903961</v>
    <v>5031688</v>
    <v>2022</v>
  </rv>
  <rv s="4">
    <v>977</v>
  </rv>
  <rv s="0">
    <v>https://www.bing.com/financeapi/forcetrigger?t=a1uivh&amp;q=XNYS%3aPEAK&amp;form=skydnc</v>
    <v>Learn more on Bing</v>
  </rv>
  <rv s="5">
    <v>en-CA</v>
    <v>a1uivh</v>
    <v>268435456</v>
    <v>1</v>
    <v>Powered by Refinitiv</v>
    <v>7</v>
    <v>HEALTHPEAK PROPERTIES, INC. (XNYS:DOC)</v>
    <v>8</v>
    <v>9</v>
    <v>Finance</v>
    <v>5</v>
    <v>23.26</v>
    <v>16.635000000000002</v>
    <v>1.0269999999999999</v>
    <v>0.02</v>
    <v>1.781E-3</v>
    <v>1.189E-3</v>
    <v>0.03</v>
    <v>USD</v>
    <v>Healthpeak Properties, Inc. is a fully integrated real estate investment trust (REIT). The Company acquires, develops, owns, leases, and manages healthcare real estate across the United States. It owns, operates, and develops real estate focused on healthcare discovery and delivery. The Company’s segments include Lab, Outpatient medical and continuing care retirement community (CCRC). The Outpatient medical segment owns, operates, and develops outpatient medical buildings, hospitals, and lab buildings. The lab segment properties contain laboratory and office space, are leased primarily to biotechnology, medical device and pharmaceutical companies, scientific research institutions, government agencies, and other organizations involved in the life science industry. Its CCRC segment is a retirement community that include independent living, assisted living, memory care, and skilled nursing units to provide a continuum of care in an integrated campus.</v>
    <v>387</v>
    <v>New York Stock Exchange</v>
    <v>XNYS</v>
    <v>XNYS</v>
    <v>4600 South Syracuse Street, Suite 500, DENVER, CO, 80237 US</v>
    <v>16.920000000000002</v>
    <v>Residential &amp; Commercial REIT</v>
    <v>Stock</v>
    <v>45800.988210289062</v>
    <v>979</v>
    <v>16.670000000000002</v>
    <v>11699290000</v>
    <v>HEALTHPEAK PROPERTIES, INC.</v>
    <v>HEALTHPEAK PROPERTIES, INC.</v>
    <v>16.78</v>
    <v>42.3977</v>
    <v>16.82</v>
    <v>16.84</v>
    <v>16.87</v>
    <v>694732100</v>
    <v>DOC</v>
    <v>HEALTHPEAK PROPERTIES, INC. (XNYS:DOC)</v>
    <v>5878309</v>
    <v>6561267</v>
    <v>2022</v>
  </rv>
  <rv s="4">
    <v>980</v>
  </rv>
  <rv s="0">
    <v>https://www.bing.com/financeapi/forcetrigger?t=a24tfr&amp;q=XNYS%3aUDR&amp;form=skydnc</v>
    <v>Learn more on Bing</v>
  </rv>
  <rv s="5">
    <v>en-CA</v>
    <v>a24tfr</v>
    <v>268435456</v>
    <v>1</v>
    <v>Powered by Refinitiv</v>
    <v>7</v>
    <v>UDR, INC. (XNYS:UDR)</v>
    <v>8</v>
    <v>9</v>
    <v>Finance</v>
    <v>5</v>
    <v>47.55</v>
    <v>36.61</v>
    <v>0.83430000000000004</v>
    <v>-0.63</v>
    <v>2.7109000000000001E-2</v>
    <v>-1.5710999999999999E-2</v>
    <v>1.07</v>
    <v>USD</v>
    <v>UDR, Inc. is a self-administered real estate investment trust. The Company owns, operates, acquires, renovates, develops, redevelops, and manages apartment communities in targeted markets located in the United States. The Company operates in two segments: Same-Store Communities and Non-Mature Communities/Other. The Same-Store Communities segment represent those communities acquired, developed, and stabilized. The Non-Mature Communities/Other segments represent those communities that do not meet the criteria to be included in Same-Store Communities, including, but not limited to acquired, developed and redeveloped communities, and the non-apartment components of mixed-use properties. The Company owns or has an ownership position in approximately 60,120 apartment homes. Its Baltimore apartments include Domain Brewers Hill, The Quarters at Towson Town Center, 20 Lambourne, Towson Promenade, 1274 at Towson, Rodgers Forge, and Calvert's Walk.</v>
    <v>1419</v>
    <v>New York Stock Exchange</v>
    <v>XNYS</v>
    <v>XNYS</v>
    <v>Suite 200, 1745 Shea Center Drive, HIGHLANDS RANCH, CO, 80129 US</v>
    <v>40.17</v>
    <v>Residential &amp; Commercial REIT</v>
    <v>Stock</v>
    <v>45800.958333333336</v>
    <v>982</v>
    <v>39.25</v>
    <v>13076250000</v>
    <v>UDR, INC.</v>
    <v>UDR, INC.</v>
    <v>39.979999999999997</v>
    <v>111.38890000000001</v>
    <v>40.1</v>
    <v>39.47</v>
    <v>40.54</v>
    <v>331295800</v>
    <v>UDR</v>
    <v>UDR, INC. (XNYS:UDR)</v>
    <v>2890754</v>
    <v>2058138</v>
    <v>2003</v>
  </rv>
  <rv s="4">
    <v>983</v>
  </rv>
  <rv s="0">
    <v>https://www.bing.com/financeapi/forcetrigger?t=a1q9c7&amp;q=XNYS%3aCPT&amp;form=skydnc</v>
    <v>Learn more on Bing</v>
  </rv>
  <rv s="15">
    <v>en-CA</v>
    <v>a1q9c7</v>
    <v>268435456</v>
    <v>1</v>
    <v>Powered by Refinitiv</v>
    <v>37</v>
    <v>CAMDEN PROPERTY TRUST (XNYS:CPT)</v>
    <v>8</v>
    <v>38</v>
    <v>Finance</v>
    <v>5</v>
    <v>127.69</v>
    <v>98.344999999999999</v>
    <v>0.79769999999999996</v>
    <v>-1.37</v>
    <v>-6.7239999999999999E-3</v>
    <v>-1.1976000000000001E-2</v>
    <v>-0.76</v>
    <v>USD</v>
    <v>Camden Property Trust is a real estate investment trust (REIT). The Company and its subsidiaries are primarily engaged in the ownership, management, development, reposition, redevelopment, acquisition, and construction of multifamily apartment communities. It owns and operates approximately 175 properties containing 59,210 apartment homes across the United States. It has three properties under development and will consist of a total of 60,348 apartment homes. Its properties typically consist of mid-rise buildings or two-and three-story buildings in a landscaped setting, as well as high-rise buildings, and provide residents with a variety of amenities common to multifamily rental properties. The Company's properties include Camden Chandler, Camden Copper Square, Camden Foothills, Camden Legacy, and others. Its properties are located in Arizona, California, Colorado, Washington District of Columbia (DC) Metro, Florida and others.</v>
    <v>1660</v>
    <v>New York Stock Exchange</v>
    <v>XNYS</v>
    <v>XNYS</v>
    <v>SUITE 2400, 11 GREENWAY PLAZA, HOUSTON, TX, 77046 US</v>
    <v>114.46</v>
    <v>Residential &amp; Commercial REIT</v>
    <v>Stock</v>
    <v>45800.972269142971</v>
    <v>985</v>
    <v>111.9</v>
    <v>12075900000</v>
    <v>CAMDEN PROPERTY TRUST</v>
    <v>CAMDEN PROPERTY TRUST</v>
    <v>114.22</v>
    <v>105.2051</v>
    <v>114.4</v>
    <v>113.03</v>
    <v>112.27</v>
    <v>106838000</v>
    <v>CPT</v>
    <v>CAMDEN PROPERTY TRUST (XNYS:CPT)</v>
    <v>1289508</v>
    <v>944467</v>
  </rv>
  <rv s="4">
    <v>986</v>
  </rv>
  <rv s="0">
    <v>https://www.bing.com/financeapi/forcetrigger?t=a21ua2&amp;q=XNAS%3aREG&amp;form=skydnc</v>
    <v>Learn more on Bing</v>
  </rv>
  <rv s="5">
    <v>en-CA</v>
    <v>a21ua2</v>
    <v>268435456</v>
    <v>1</v>
    <v>Powered by Refinitiv</v>
    <v>7</v>
    <v>REGENCY CENTERS CORPORATION (XNAS:REG)</v>
    <v>8</v>
    <v>9</v>
    <v>Finance</v>
    <v>5</v>
    <v>78.180099999999996</v>
    <v>58.19</v>
    <v>1.0307999999999999</v>
    <v>-7.0000000000000007E-2</v>
    <v>-4.084E-3</v>
    <v>-9.8480000000000009E-4</v>
    <v>-0.28999999999999998</v>
    <v>USD</v>
    <v>Regency Centers Corporation is a fully integrated real estate company and a self-administered and self-managed real estate investment trust. The Company conducts all its operations through Regency Centers, L.P. (the Operating Partnership). It is engaged in acquiring, developing, owning, and operating income-producing retail real estate principally located in suburban trade areas with compelling demographics within the United States. Its portfolio comprises approximately 483 properties, encompassing approximately 57.62 million square feet of gross leasable area. Its properties include Amerige Heights Town Center, Friars Mission Center, Navajo Shopping Center, Point Loma Plaza, Rancho San Diego Village, Scripps Ranch Marketplace, The Hub Hillcrest Market, Twin Peaks, 200 Potrero, Bayhill Shopping Center, Clayton Valley Shopping Center, Diablo Plaza, Encina Grande, Plaza Escuela, Pleasant Hill Shopping Center, Potrero Center, Corral Hollow, Brentwood Place Shopping Center and others.</v>
    <v>495</v>
    <v>Nasdaq Stock Market</v>
    <v>XNAS</v>
    <v>XNAS</v>
    <v>SUITE 114, ONE INDEPENDENT DRIVE, JACKSONVILLE, FL, 32202 US</v>
    <v>71.290000000000006</v>
    <v>Residential &amp; Commercial REIT</v>
    <v>Stock</v>
    <v>45800.852003923435</v>
    <v>988</v>
    <v>70.569999999999993</v>
    <v>12890390000</v>
    <v>REGENCY CENTERS CORPORATION</v>
    <v>REGENCY CENTERS CORPORATION</v>
    <v>70.930000000000007</v>
    <v>33.589500000000001</v>
    <v>71.08</v>
    <v>71.010000000000005</v>
    <v>70.72</v>
    <v>181529300</v>
    <v>REG</v>
    <v>REGENCY CENTERS CORPORATION (XNAS:REG)</v>
    <v>972165</v>
    <v>981481</v>
    <v>1993</v>
  </rv>
  <rv s="4">
    <v>989</v>
  </rv>
  <rv s="0">
    <v>https://www.bing.com/financeapi/forcetrigger?t=a1uwoc&amp;q=XNAS%3aHST&amp;form=skydnc</v>
    <v>Learn more on Bing</v>
  </rv>
  <rv s="5">
    <v>en-CA</v>
    <v>a1uwoc</v>
    <v>268435456</v>
    <v>1</v>
    <v>Powered by Refinitiv</v>
    <v>7</v>
    <v>HOST HOTELS &amp; RESORTS, INC. (XNAS:HST)</v>
    <v>8</v>
    <v>9</v>
    <v>Finance</v>
    <v>5</v>
    <v>19.2561</v>
    <v>12.22</v>
    <v>1.3313999999999999</v>
    <v>-0.13</v>
    <v>6.803E-3</v>
    <v>-8.7660000000000012E-3</v>
    <v>0.1</v>
    <v>USD</v>
    <v>Host Hotels &amp; Resorts, Inc. operates as a self-managed and self-administered real estate investment trust (REIT), with its operations conducted through Host Hotels &amp; Resorts, L.P. The Company is an owner of luxury and upper upscale hotels. It operates through the hotel ownership segment. Its hotels operate in urban and resort markets either as luxury properties under such brand names as 1 Hotels, Alila, Andaz, Fairmont, Four Seasons, Grand Hyatt, JW Marriott, Ritz-Carlton, St. Regis, The Don Cesar, The Luxury Collection and W, or as upper upscale properties under such brand names as Autograph Collection, Curio - A Collection by Hilton, Embassy Suites by Hilton, Hilton, Hyatt Regency, Marriott, Marriott Marquis, Sheraton, Swissotel, Tribute Portfolio and Westin. The Company owns 76 properties in the United States and five properties internationally, totaling approximately 43,400 rooms. It also holds non-controlling interests in seven domestic and one international joint venture.</v>
    <v>165</v>
    <v>Nasdaq Stock Market</v>
    <v>XNAS</v>
    <v>XNAS</v>
    <v>4747 Bethesda Avenue, Suite 1300, BETHESDA, MD, 20814 US</v>
    <v>14.765000000000001</v>
    <v>Residential &amp; Commercial REIT</v>
    <v>Stock</v>
    <v>45800.93651041641</v>
    <v>991</v>
    <v>14.46</v>
    <v>10197600000</v>
    <v>HOST HOTELS &amp; RESORTS, INC.</v>
    <v>HOST HOTELS &amp; RESORTS, INC.</v>
    <v>14.46</v>
    <v>15.3786</v>
    <v>14.83</v>
    <v>14.7</v>
    <v>14.8</v>
    <v>693714400</v>
    <v>HST</v>
    <v>HOST HOTELS &amp; RESORTS, INC. (XNAS:HST)</v>
    <v>6820609</v>
    <v>8352923</v>
    <v>1998</v>
  </rv>
  <rv s="4">
    <v>992</v>
  </rv>
  <rv s="0">
    <v>https://www.bing.com/financeapi/forcetrigger?t=a1p2p2&amp;q=XNYS%3aBXP&amp;form=skydnc</v>
    <v>Learn more on Bing</v>
  </rv>
  <rv s="6">
    <v>en-CA</v>
    <v>a1p2p2</v>
    <v>268435456</v>
    <v>1</v>
    <v>Powered by Refinitiv</v>
    <v>10</v>
    <v>BXP, INC. (XNYS:BXP)</v>
    <v>8</v>
    <v>11</v>
    <v>Finance</v>
    <v>5</v>
    <v>90.109899999999996</v>
    <v>54.22</v>
    <v>1.1833</v>
    <v>-0.02</v>
    <v>6.8100000000000001E-3</v>
    <v>-3.0949999999999999E-4</v>
    <v>0.44</v>
    <v>USD</v>
    <v>BXP, Inc. is a fully integrated, self-administered and self-managed real estate investment trust. The Company develops, owns and manages premier workplaces in the United States. The Company's segments by geographic area are Boston, Los Angeles, New York, San Francisco, Seattle, and Washington, DC. Its segment by property type includes Office (which includes office, life sciences and retail), Residential, and Hotel. Its portfolio totals 53.0 million square feet and 184 properties, including nine properties under construction/redevelopment. Its properties consist of 162 office and life sciences properties (including seven properties under construction/redevelopment); 14 retail properties (including one property under construction); seven residential properties (including two properties under construction), and one hotel. Its properties include Times Square Tower, 100 Federal Street, 767 Fifth Avenue, 601 Lexington Avenue, Atlantic Wharf Office Building, 343 Madison Avenue, and others.</v>
    <v>816</v>
    <v>New York Stock Exchange</v>
    <v>XNYS</v>
    <v>XNYS</v>
    <v>800 Boylston St Ste 1900, BOSTON, MA, 02199 US</v>
    <v>65.02</v>
    <v>Residential &amp; Commercial REIT</v>
    <v>Stock</v>
    <v>45800.999736423437</v>
    <v>994</v>
    <v>63.86</v>
    <v>10229350000</v>
    <v>BXP, INC.</v>
    <v>BXP, INC.</v>
    <v>64.05</v>
    <v>64.63</v>
    <v>64.61</v>
    <v>65.05</v>
    <v>158324600</v>
    <v>BXP</v>
    <v>BXP, INC. (XNYS:BXP)</v>
    <v>1369760</v>
    <v>1390349</v>
    <v>1997</v>
  </rv>
  <rv s="4">
    <v>995</v>
  </rv>
  <rv s="0">
    <v>https://www.bing.com/financeapi/forcetrigger?t=a1tctc&amp;q=XNYS%3aFRT&amp;form=skydnc</v>
    <v>Learn more on Bing</v>
  </rv>
  <rv s="5">
    <v>en-CA</v>
    <v>a1tctc</v>
    <v>268435456</v>
    <v>1</v>
    <v>Powered by Refinitiv</v>
    <v>7</v>
    <v>FEDERAL REALTY INVESTMENT TRUST (XNYS:FRT)</v>
    <v>8</v>
    <v>9</v>
    <v>Finance</v>
    <v>5</v>
    <v>118.34</v>
    <v>80.650000000000006</v>
    <v>1.1291</v>
    <v>-1.1000000000000001</v>
    <v>-3.2410000000000002E-4</v>
    <v>-1.1745E-2</v>
    <v>-0.03</v>
    <v>USD</v>
    <v>Federal Realty Investment Trust is an equity real estate investment trust (REIT). The Company specializes in the ownership, management, and redevelopment of retail and mixed-use properties located primarily in communities in the Northeast and Mid-Atlantic regions of the United States, California, and South Florida. Its portfolio includes retail in many formats, ranging from regional, community and neighborhood shopping centers that are often anchored by grocery stores to mixed-use properties that are centered around a retail component but also include office, residential and/or hotel components. The Company’s 102 properties include approximately 3,500 tenants in 27 million commercial square feet, and approximately 3,100 residential units. Its portfolio includes Assembly Square, Andorra Shopping Center, Assembly Row, and Bala Cynwyd On City Avenue.</v>
    <v>304</v>
    <v>New York Stock Exchange</v>
    <v>XNYS</v>
    <v>XNYS</v>
    <v>909 Rose Avenue, Suite 200, NORTH BETHESDA, MD, 20852 US</v>
    <v>93.25</v>
    <v>Residential &amp; Commercial REIT</v>
    <v>Stock</v>
    <v>45800.958333356248</v>
    <v>997</v>
    <v>92.11</v>
    <v>7984294000</v>
    <v>FEDERAL REALTY INVESTMENT TRUST</v>
    <v>FEDERAL REALTY INVESTMENT TRUST</v>
    <v>92.92</v>
    <v>26.9483</v>
    <v>93.66</v>
    <v>92.56</v>
    <v>92.53</v>
    <v>86260740</v>
    <v>FRT</v>
    <v>FEDERAL REALTY INVESTMENT TRUST (XNYS:FRT)</v>
    <v>624068</v>
    <v>735682</v>
    <v>2021</v>
  </rv>
  <rv s="4">
    <v>998</v>
  </rv>
  <rv s="0">
    <v>http://en.wikipedia.org/wiki/McDonald's</v>
    <v>Wikipedia</v>
  </rv>
  <rv s="1">
    <v>0</v>
    <v>1000</v>
  </rv>
  <rv s="2">
    <v>6</v>
    <v>https://www.bing.com/th?id=AMMS_7d8255243964a8970376f8dd41121106&amp;qlt=95</v>
    <v>1001</v>
    <v>0</v>
    <v>https://www.bing.com/images/search?form=xlimg&amp;q=mcdonald%27s</v>
    <v>Image of MCDONALD'S CORPORATION</v>
  </rv>
  <rv s="0">
    <v>https://www.bing.com/financeapi/forcetrigger?t=a1xdec&amp;q=XNYS%3aMCD&amp;form=skydnc</v>
    <v>Learn more on Bing</v>
  </rv>
  <rv s="3">
    <v>en-CA</v>
    <v>a1xdec</v>
    <v>268435456</v>
    <v>1</v>
    <v>Powered by Refinitiv</v>
    <v>0</v>
    <v>MCDONALD'S CORPORATION (XNYS:MCD)</v>
    <v>3</v>
    <v>4</v>
    <v>Finance</v>
    <v>5</v>
    <v>326.32</v>
    <v>243.53</v>
    <v>0.56630000000000003</v>
    <v>0.26</v>
    <v>-1.7799999999999999E-3</v>
    <v>8.2720000000000005E-4</v>
    <v>-0.56000000000000005</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315.64999999999998</v>
    <v>1002</v>
    <v>Hotels &amp; Entertainment Services</v>
    <v>Stock</v>
    <v>45800.99989157344</v>
    <v>1003</v>
    <v>313.02999999999997</v>
    <v>224927800000</v>
    <v>MCDONALD'S CORPORATION</v>
    <v>MCDONALD'S CORPORATION</v>
    <v>315.07</v>
    <v>27.728200000000001</v>
    <v>314.31</v>
    <v>314.57</v>
    <v>314.01</v>
    <v>715032700</v>
    <v>MCD</v>
    <v>MCDONALD'S CORPORATION (XNYS:MCD)</v>
    <v>2701615</v>
    <v>3050176</v>
    <v>1964</v>
  </rv>
  <rv s="4">
    <v>1004</v>
  </rv>
  <rv s="0">
    <v>https://www.bing.com/financeapi/forcetrigger?t=az6g8m&amp;q=XNAS%3aBKNG&amp;form=skydnc</v>
    <v>Learn more on Bing</v>
  </rv>
  <rv s="5">
    <v>en-CA</v>
    <v>az6g8m</v>
    <v>268435456</v>
    <v>1</v>
    <v>Powered by Refinitiv</v>
    <v>7</v>
    <v>BOOKING HOLDINGS INC. (XNAS:BKNG)</v>
    <v>8</v>
    <v>9</v>
    <v>Finance</v>
    <v>5</v>
    <v>5379.9799000000003</v>
    <v>3180</v>
    <v>1.4105000000000001</v>
    <v>-9.11</v>
    <v>-5.6820000000000004E-4</v>
    <v>-1.7050000000000001E-3</v>
    <v>-3.03</v>
    <v>USD</v>
    <v>Booking Holdings Inc. is a provider of travel and restaurant online reservation and related services. The Company offers its services through five primary consumer-facing brands: Booking.com, Priceline, Agoda, KAYAK, and OpenTable. Through its brands, consumers can book an array of accommodations (including hotels, motels, resorts, homes, apartments, bed and breakfasts, hostels, and other alternative and traditional accommodation properties) and a flight to their destinations; make a car rental reservation or arrange for an airport taxi; make a dinner reservation; or book a vacation package, tour, activity, or cruise. Consumers can also use its meta-search services to easily compare travel reservation information, such as flight, hotel, and rental car reservations from hundreds of online travel platforms at once. Booking.com offers accommodation reservation services for approximately 4.0 million properties in over 220 countries and territories and in over 40 languages.</v>
    <v>24300</v>
    <v>Nasdaq Stock Market</v>
    <v>XNAS</v>
    <v>XNAS</v>
    <v>800 CONNECTICUT AVE, NORWALK, CT, 06854-1631 US</v>
    <v>5337.2349999999997</v>
    <v>Hotels &amp; Entertainment Services</v>
    <v>Stock</v>
    <v>45800.940758274999</v>
    <v>1006</v>
    <v>5272.6585999999998</v>
    <v>173531100000</v>
    <v>BOOKING HOLDINGS INC.</v>
    <v>BOOKING HOLDINGS INC.</v>
    <v>5280.73</v>
    <v>33.235100000000003</v>
    <v>5341.91</v>
    <v>5332.8</v>
    <v>5329.77</v>
    <v>32540340</v>
    <v>BKNG</v>
    <v>BOOKING HOLDINGS INC. (XNAS:BKNG)</v>
    <v>152421</v>
    <v>226970</v>
    <v>1998</v>
  </rv>
  <rv s="4">
    <v>1007</v>
  </rv>
  <rv s="0">
    <v>https://www.bing.com/financeapi/forcetrigger?t=a1pxbh&amp;q=XNYS%3aCMG&amp;form=skydnc</v>
    <v>Learn more on Bing</v>
  </rv>
  <rv s="5">
    <v>en-CA</v>
    <v>a1pxbh</v>
    <v>268435456</v>
    <v>1</v>
    <v>Powered by Refinitiv</v>
    <v>7</v>
    <v>CHIPOTLE MEXICAN GRILL, INC. (XNYS:CMG)</v>
    <v>8</v>
    <v>9</v>
    <v>Finance</v>
    <v>5</v>
    <v>69.261399999999995</v>
    <v>44.46</v>
    <v>1.0818000000000001</v>
    <v>-0.15</v>
    <v>5.9249999999999993E-4</v>
    <v>-2.954E-3</v>
    <v>0.03</v>
    <v>USD</v>
    <v>Chipotle Mexican Grill, Inc. is a restaurant company. The Company, through its subsidiaries, owns and operates Chipotle Mexican Grill restaurants, which feature a relevant menu of burritos, burrito bowls (a burrito without the tortilla), quesadillas, tacos, and salads. The Company operates over 3,700 restaurants in the United States, Canada, the United Kingdom, France, Germany, Kuwait, and the United Arab Emirates. It has made digital ordering convenient with enhancements to the Chipotle app and Website, such as customization, contactless delivery, and group ordering. Its application also includes order readiness messaging, wrong location detection and reminders to scan for points. The Company’s subsidiaries include Chipotle Mexican Grill Canada Corp., Chipotle Mexican Grill France SAS, Chipotle Mexican Grill of Berwyn Heights, LLC, Chipotle Mexican Grill Germany GMBH, and Chipotle Mexican Grill U.S. Finance Co., LLC, among others.</v>
    <v>130504</v>
    <v>New York Stock Exchange</v>
    <v>XNYS</v>
    <v>XNYS</v>
    <v>610 Newport Center Dr., NEWPORT BEACH, CA, 92660 US</v>
    <v>50.83</v>
    <v>Hotels &amp; Entertainment Services</v>
    <v>Stock</v>
    <v>45800.998758089845</v>
    <v>1009</v>
    <v>50.1</v>
    <v>68217040000</v>
    <v>CHIPOTLE MEXICAN GRILL, INC.</v>
    <v>CHIPOTLE MEXICAN GRILL, INC.</v>
    <v>50.1</v>
    <v>44.617800000000003</v>
    <v>50.78</v>
    <v>50.63</v>
    <v>50.66</v>
    <v>1347364000</v>
    <v>CMG</v>
    <v>CHIPOTLE MEXICAN GRILL, INC. (XNYS:CMG)</v>
    <v>9335259</v>
    <v>13787401</v>
    <v>1998</v>
  </rv>
  <rv s="4">
    <v>1010</v>
  </rv>
  <rv s="0">
    <v>https://www.bing.com/financeapi/forcetrigger?t=a1uqpr&amp;q=XNYS%3aHLT&amp;form=skydnc</v>
    <v>Learn more on Bing</v>
  </rv>
  <rv s="5">
    <v>en-CA</v>
    <v>a1uqpr</v>
    <v>268435456</v>
    <v>1</v>
    <v>Powered by Refinitiv</v>
    <v>7</v>
    <v>HILTON WORLDWIDE HOLDINGS INC. (XNYS:HLT)</v>
    <v>8</v>
    <v>9</v>
    <v>Finance</v>
    <v>5</v>
    <v>275.22000000000003</v>
    <v>194.93</v>
    <v>1.244</v>
    <v>-1.72</v>
    <v>9.3970000000000002E-4</v>
    <v>-6.9779999999999998E-3</v>
    <v>0.23</v>
    <v>USD</v>
    <v>Hilton Worldwide Holdings Inc. is a global hospitality company that is engaged in managing, franchising, owning and leasing hotels and resorts, and licensing its intellectual property, including brand names, trademarks and service marks. It has a portfolio of over 24 brands comprising more than 8,400 properties and more than 1.25 million rooms in 140 countries and territories. It has two segments: management and franchise and ownership. The management and franchise segment includes all the hotels it manages for third-party owners, as well as all franchised hotels that license its intellectual property (IP), and/or use its booking channels and related programs, and where it provides other contracted services to third-party owners. The ownership segment includes nightly hotel room sales, food and beverage sales and other services at its consolidated owned and leased hotels. Its brands include Waldorf Astoria Hotels &amp; Resorts, LXR Hotels &amp; Resorts, Conrad Hotels &amp; Resorts, and others.</v>
    <v>181000</v>
    <v>New York Stock Exchange</v>
    <v>XNYS</v>
    <v>XNYS</v>
    <v>7930 Jones Branch Dr Ste 1100, MCLEAN, VA, 22102 US</v>
    <v>245.77</v>
    <v>Hotels &amp; Entertainment Services</v>
    <v>Stock</v>
    <v>45800.997068541408</v>
    <v>1012</v>
    <v>243.07</v>
    <v>58181830000</v>
    <v>HILTON WORLDWIDE HOLDINGS INC.</v>
    <v>HILTON WORLDWIDE HOLDINGS INC.</v>
    <v>243.12</v>
    <v>38.829900000000002</v>
    <v>246.49</v>
    <v>244.77</v>
    <v>245</v>
    <v>237700000</v>
    <v>HLT</v>
    <v>HILTON WORLDWIDE HOLDINGS INC. (XNYS:HLT)</v>
    <v>1058296</v>
    <v>2086804</v>
    <v>2010</v>
  </rv>
  <rv s="4">
    <v>1013</v>
  </rv>
  <rv s="0">
    <v>https://www.bing.com/financeapi/forcetrigger?t=a1xaar&amp;q=XNAS%3aMAR&amp;form=skydnc</v>
    <v>Learn more on Bing</v>
  </rv>
  <rv s="5">
    <v>en-CA</v>
    <v>a1xaar</v>
    <v>268435456</v>
    <v>1</v>
    <v>Powered by Refinitiv</v>
    <v>7</v>
    <v>MARRIOTT INTERNATIONAL, INC. (XNAS:MAR)</v>
    <v>8</v>
    <v>9</v>
    <v>Finance</v>
    <v>5</v>
    <v>307.51799999999997</v>
    <v>204.55</v>
    <v>1.4177999999999999</v>
    <v>-2.3199999999999998</v>
    <v>5.006E-3</v>
    <v>-8.9219999999999994E-3</v>
    <v>1.29</v>
    <v>USD</v>
    <v>Marriott International, Inc. is an operator, franchisor, and licensor of hotel, residential, timeshare, and other lodging properties under various brand names. Its segments include U.S. and Canada, Europe, Middle East, and Africa (EMEA), Greater China, Asia Pacific, excluding China. Its brand portfolio offers a range of brands and lodging offerings in hospitality. Its brands are categorized by style of offering: Classic and Distinctive. The classic brands offer time-honored hospitality for the modern traveler. The distinctive brands offer memorable experiences with a perspective, each of which it groups into four tiers: Luxury, Premium, Select, and Midscale. Its hotel brands include JW Marriott, The Ritz-Carlton, The Luxury Collection, W Hotels, Marriott Hotels, Sheraton, Delta Hotels by Marriott, Marriott Executive Apartments, Courtyard by Marriott, SpringHill Suites by Marriott, TownePlace Suites by Marriott, City Express by Marriott Four Points Express by Sheraton, and others.</v>
    <v>155000</v>
    <v>Nasdaq Stock Market</v>
    <v>XNAS</v>
    <v>XNAS</v>
    <v>7750 WISCONSIN AVENUE, BETHESDA, MD, 20814 US</v>
    <v>258.97000000000003</v>
    <v>Hotels &amp; Entertainment Services</v>
    <v>Stock</v>
    <v>45800.971042500001</v>
    <v>1015</v>
    <v>255.52500000000001</v>
    <v>70583030000</v>
    <v>MARRIOTT INTERNATIONAL, INC.</v>
    <v>MARRIOTT INTERNATIONAL, INC.</v>
    <v>255.69</v>
    <v>29.6126</v>
    <v>260.02</v>
    <v>257.7</v>
    <v>258.99</v>
    <v>273896100</v>
    <v>MAR</v>
    <v>MARRIOTT INTERNATIONAL, INC. (XNAS:MAR)</v>
    <v>1270776</v>
    <v>1815880</v>
    <v>1997</v>
  </rv>
  <rv s="4">
    <v>1016</v>
  </rv>
  <rv s="0">
    <v>https://www.bing.com/financeapi/forcetrigger?t=a21rw7&amp;q=XNYS%3aRCL&amp;form=skydnc</v>
    <v>Learn more on Bing</v>
  </rv>
  <rv s="5">
    <v>en-CA</v>
    <v>a21rw7</v>
    <v>268435456</v>
    <v>1</v>
    <v>Powered by Refinitiv</v>
    <v>7</v>
    <v>ROYAL CARIBBEAN CRUISES LTD. (XNYS:RCL)</v>
    <v>8</v>
    <v>9</v>
    <v>Finance</v>
    <v>5</v>
    <v>277.08</v>
    <v>130.08000000000001</v>
    <v>2.1284999999999998</v>
    <v>1.72</v>
    <v>8.7460000000000001E-4</v>
    <v>7.2150000000000001E-3</v>
    <v>0.21</v>
    <v>USD</v>
    <v>Royal Caribbean Cruises Ltd. is a cruise company, which owns and operates three global cruise brands: Royal Caribbean International, Celebrity Cruises and Silversea Cruises. It also has an interest in TUI Cruises GmbH, which operates the German brands TUI Cruises and Hapag-Lloyd Cruises. Its ships offer a selection of worldwide itineraries that call on approximately 1,000 destinations on all seven continents. Royal Caribbean International offers cruises and land destinations that generally feature a casual ambiance, as well as a variety of activities and entertainment venues. Celebrity Cruises offers a range of itineraries to destinations, including Alaska, Asia, Australia, Bermuda, Canada, the Caribbean, Europe, the Galapagos Islands, Hawaii, New Zealand, the Panama Canal and South America, with cruise lengths ranging from three to 14 nights. It also offers a range of private land destinations through Perfect Day at CocoCay, includes full water park, zip line course, and others.</v>
    <v>105950</v>
    <v>New York Stock Exchange</v>
    <v>XNYS</v>
    <v>XNYS</v>
    <v>1050 Caribbean Way, MIAMI, FL, 33132 US</v>
    <v>241.36</v>
    <v>Hotels &amp; Entertainment Services</v>
    <v>Stock</v>
    <v>45800.995733726566</v>
    <v>1018</v>
    <v>232.6</v>
    <v>65207080000</v>
    <v>ROYAL CARIBBEAN CRUISES LTD.</v>
    <v>ROYAL CARIBBEAN CRUISES LTD.</v>
    <v>233</v>
    <v>19.805900000000001</v>
    <v>238.4</v>
    <v>240.12</v>
    <v>240.33</v>
    <v>271560400</v>
    <v>RCL</v>
    <v>ROYAL CARIBBEAN CRUISES LTD. (XNYS:RCL)</v>
    <v>1201067</v>
    <v>1945216</v>
    <v>1985</v>
  </rv>
  <rv s="4">
    <v>1019</v>
  </rv>
  <rv s="0">
    <v>https://www.bing.com/financeapi/forcetrigger?t=a26em7&amp;q=XNYS%3aYUM&amp;form=skydnc</v>
    <v>Learn more on Bing</v>
  </rv>
  <rv s="5">
    <v>en-CA</v>
    <v>a26em7</v>
    <v>268435456</v>
    <v>1</v>
    <v>Powered by Refinitiv</v>
    <v>7</v>
    <v>YUM! BRANDS, INC. (XNYS:YUM)</v>
    <v>8</v>
    <v>9</v>
    <v>Finance</v>
    <v>5</v>
    <v>163.30000000000001</v>
    <v>122.13</v>
    <v>0.75270000000000004</v>
    <v>-0.05</v>
    <v>7.4939999999999998E-3</v>
    <v>-3.436E-4</v>
    <v>1.0900000000000001</v>
    <v>USD</v>
    <v>YUM! Brands, Inc. and its subsidiaries franchise or operate a system of approximately 61,000 restaurants in 155 countries and territories under the concepts of KFC, Taco Bell, Pizza Hut and The Habit Burger Grill. It consists of four operating segments: The KFC Division, which includes its worldwide operations of the KFC concept; The Taco Bell Division, which includes its worldwide operations of the Taco Bell concept; The Pizza Hut Division, which includes its worldwide operations of the Pizza Hut concept; and The Habit Burger Grill Division, which includes its worldwide operations of the Habit Burger Grill concept. It develops, operates, or franchises a system of both traditional and non-traditional restaurants. KFC restaurants offer fried and non-fried chicken products. Taco Bell offers Mexican-style food products. Pizza Hut specializes in the sale of ready-to-eat pizza products. The Habit Burger Grill offers chargrilled burgers and sandwiches made-to-order over an open flame.</v>
    <v>23000</v>
    <v>New York Stock Exchange</v>
    <v>XNYS</v>
    <v>XNYS</v>
    <v>1441 Gardiner Lane, LOUISVILLE, KY, 40213 US</v>
    <v>145.9</v>
    <v>Hotels &amp; Entertainment Services</v>
    <v>Stock</v>
    <v>45800.958333344533</v>
    <v>1021</v>
    <v>144.66</v>
    <v>40429940000</v>
    <v>YUM! BRANDS, INC.</v>
    <v>YUM! BRANDS, INC.</v>
    <v>145.22</v>
    <v>29.071300000000001</v>
    <v>145.5</v>
    <v>145.44999999999999</v>
    <v>146.54</v>
    <v>277964500</v>
    <v>YUM</v>
    <v>YUM! BRANDS, INC. (XNYS:YUM)</v>
    <v>1062942</v>
    <v>1947899</v>
    <v>1997</v>
  </rv>
  <rv s="4">
    <v>1022</v>
  </rv>
  <rv s="0">
    <v>https://www.bing.com/financeapi/forcetrigger?t=a1sifr&amp;q=XNAS%3aEXPE&amp;form=skydnc</v>
    <v>Learn more on Bing</v>
  </rv>
  <rv s="5">
    <v>en-CA</v>
    <v>a1sifr</v>
    <v>268435456</v>
    <v>1</v>
    <v>Powered by Refinitiv</v>
    <v>7</v>
    <v>EXPEDIA GROUP, INC. (XNAS:EXPE)</v>
    <v>8</v>
    <v>9</v>
    <v>Finance</v>
    <v>5</v>
    <v>207.73</v>
    <v>107.25</v>
    <v>1.5975999999999999</v>
    <v>-1.74</v>
    <v>-2.264E-3</v>
    <v>-1.0826000000000001E-2</v>
    <v>-0.36</v>
    <v>USD</v>
    <v>Expedia Group, Inc. is an online travel company. The Company’s segments include B2C, B2B, and trivago. The B2C segment provides a full range of travel and advertising services to its worldwide customers through a variety of consumer brands including: Expedia.com, Hotels.com, Vrbo, Orbitz, Travelocity, Wotif Group, ebookers, CheapTickets, Hotwire.com and CarRentals.com. The B2B segment fuels a wide range of travel and non-travel companies, including airlines, offline travel agents, online retailers, corporate travel management and financial institutions, who leverage travel technology and tap into its diverse supply to augment their offerings and market Expedia Group rates and availabilities to their travelers. Its trivago segment generates advertising revenue primarily from sending referrals to online travel companies and travel service providers from its hotel metasearch Websites. The trivago is its majority-owned hotel metasearch company, based in Dusseldorf, Germany.</v>
    <v>16500</v>
    <v>Nasdaq Stock Market</v>
    <v>XNAS</v>
    <v>XNAS</v>
    <v>1111 Expedia Group Way W, SEATTLE, WA, 98119-1111 US</v>
    <v>160.05000000000001</v>
    <v>Hotels &amp; Entertainment Services</v>
    <v>Stock</v>
    <v>45800.98567581016</v>
    <v>1024</v>
    <v>156.17500000000001</v>
    <v>20209680000</v>
    <v>EXPEDIA GROUP, INC.</v>
    <v>EXPEDIA GROUP, INC.</v>
    <v>156.69</v>
    <v>16.005600000000001</v>
    <v>160.72</v>
    <v>158.97999999999999</v>
    <v>158.62</v>
    <v>127120900</v>
    <v>EXPE</v>
    <v>EXPEDIA GROUP, INC. (XNAS:EXPE)</v>
    <v>1269795</v>
    <v>2337236</v>
    <v>2005</v>
  </rv>
  <rv s="4">
    <v>1025</v>
  </rv>
  <rv s="0">
    <v>https://www.bing.com/financeapi/forcetrigger?t=a1ra3m&amp;q=XNYS%3aDRI&amp;form=skydnc</v>
    <v>Learn more on Bing</v>
  </rv>
  <rv s="5">
    <v>en-CA</v>
    <v>a1ra3m</v>
    <v>268435456</v>
    <v>1</v>
    <v>Powered by Refinitiv</v>
    <v>7</v>
    <v>DARDEN RESTAURANTS, INC. (XNYS:DRI)</v>
    <v>8</v>
    <v>9</v>
    <v>Finance</v>
    <v>5</v>
    <v>211.82</v>
    <v>135.86500000000001</v>
    <v>0.73299999999999998</v>
    <v>0.14000000000000001</v>
    <v>2.9409999999999996E-3</v>
    <v>6.8669999999999994E-4</v>
    <v>0.6</v>
    <v>USD</v>
    <v>Darden Restaurants, Inc. is a restaurant company. The Company owns and operates full-service dining restaurants in the United States and Canada under the trade names Olive Garden, LongHorn Steakhouse, Yard House, Ruth's Chris Steak House, Cheddar's Scratch Kitchen, The Capital Grille, Chuy's, Seasons 52, Eddie V's and Bahama Breeze. It owns and operates approximately 2,140 restaurants in the United States and Canada. Its segments include Olive Garden, LongHorn Steakhouse, Fine Dining, and Other Businesses. Olive Garden is a full-service Italian dining restaurant operator in the United States. LongHorn Steakhouse is a full-service steakhouse restaurant, which features a variety of menu items including signature steaks and chicken, as well as salmon, shrimp, and burgers. Fine Dining includes Ruth’s Chris, The Capital Grille and Eddie V’s. Other businesses include Cheddar’s Scratch Kitchen, Yard House, Bahama Breeze, Seasons 52, and The Capital Burger.</v>
    <v>191105</v>
    <v>New York Stock Exchange</v>
    <v>XNYS</v>
    <v>XNYS</v>
    <v>1000 Darden Center Dr, ORLANDO, FL, 32837 US</v>
    <v>204.65</v>
    <v>Hotels &amp; Entertainment Services</v>
    <v>Stock</v>
    <v>45800.971039594529</v>
    <v>1027</v>
    <v>201.92</v>
    <v>23875700000</v>
    <v>DARDEN RESTAURANTS, INC.</v>
    <v>DARDEN RESTAURANTS, INC.</v>
    <v>202.57</v>
    <v>22.940899999999999</v>
    <v>203.88</v>
    <v>204.02</v>
    <v>204.62</v>
    <v>117026300</v>
    <v>DRI</v>
    <v>DARDEN RESTAURANTS, INC. (XNYS:DRI)</v>
    <v>901563</v>
    <v>1521512</v>
    <v>1995</v>
  </rv>
  <rv s="4">
    <v>1028</v>
  </rv>
  <rv s="0">
    <v>https://www.bing.com/financeapi/forcetrigger?t=a1pctc&amp;q=XNYS%3aCCL&amp;form=skydnc</v>
    <v>Learn more on Bing</v>
  </rv>
  <rv s="5">
    <v>en-CA</v>
    <v>a1pctc</v>
    <v>268435456</v>
    <v>1</v>
    <v>Powered by Refinitiv</v>
    <v>7</v>
    <v>Carnival Corp (XNYS:CCL)</v>
    <v>8</v>
    <v>9</v>
    <v>Finance</v>
    <v>5</v>
    <v>28.72</v>
    <v>13.78</v>
    <v>2.5644</v>
    <v>-0.18</v>
    <v>-4.4940000000000003E-4</v>
    <v>-8.0249999999999991E-3</v>
    <v>-0.01</v>
    <v>USD</v>
    <v>Carnival Corporation is a global cruise and leisure travel company. The Company has a portfolio of cruise lines, including AIDA Cruises, Carnival Cruise Line, Costa Cruises, Cunard, Holland America Line, P&amp;O Cruises (Australia), P&amp;O Cruises (UK), Princess Cruises, and Seabourn. The Company's segment includes NAA cruise operations, Europe cruise operations (Europe), Cruise Support and Tour and Other. Its Cruise Support segment includes its portfolio of port destinations and exclusive islands as well as other services, all of which are operated for the benefit of its cruise brands. In addition to its cruise operations, it owns Holland America Princess Alaska Tours, a tour company in Alaska and the Canadian Yukon, which complements its Alaska cruise operations. Its Tour and Other segment represents the hotel and transportation operations of Holland America Princess Alaska Tours and other operations. Its tour company owns and operates hotels, lodges, glass-domed railcars and motorcoaches.</v>
    <v>112000</v>
    <v>New York Stock Exchange</v>
    <v>XNYS</v>
    <v>XNYS</v>
    <v>3655 North West 87th Avenue, PO Box 1347, MIAMI, FL, 33178 US</v>
    <v>22.295000000000002</v>
    <v>Hotels &amp; Entertainment Services</v>
    <v>Stock</v>
    <v>45800.998174779685</v>
    <v>1030</v>
    <v>21.621700000000001</v>
    <v>28875860000</v>
    <v>Carnival Corp</v>
    <v>Carnival Corp</v>
    <v>21.73</v>
    <v>14.938800000000001</v>
    <v>22.43</v>
    <v>22.25</v>
    <v>22.24</v>
    <v>1312209000</v>
    <v>CCL</v>
    <v>Carnival Corp (XNYS:CCL)</v>
    <v>15876634</v>
    <v>22374420</v>
    <v>1974</v>
  </rv>
  <rv s="4">
    <v>1031</v>
  </rv>
  <rv s="0">
    <v>https://www.bing.com/financeapi/forcetrigger?t=a1r9lh&amp;q=XNYS%3aDPZ&amp;form=skydnc</v>
    <v>Learn more on Bing</v>
  </rv>
  <rv s="5">
    <v>en-CA</v>
    <v>a1r9lh</v>
    <v>268435456</v>
    <v>1</v>
    <v>Powered by Refinitiv</v>
    <v>7</v>
    <v>DOMINO'S PIZZA, INC. (XNAS:DPZ)</v>
    <v>8</v>
    <v>9</v>
    <v>Finance</v>
    <v>5</v>
    <v>538.44000000000005</v>
    <v>396.06</v>
    <v>1.1413</v>
    <v>-1.83</v>
    <v>-1.103E-3</v>
    <v>-3.7950000000000002E-3</v>
    <v>-0.53</v>
    <v>USD</v>
    <v>Domino’s Pizza, Inc. is a pizza company with a significant business in both delivery and carryout. The Company operates through three segments: U.S. stores, international franchise, and supply chain. The U.S. stores segment is comprised primarily of its franchise operations, which consists of franchised stores located in the United States. The segment also operates a network of United States Company-owned stores. The international franchise segment primarily includes operations related to the Company’s franchising business in foreign markets. The supply chain segment primarily includes the distribution of food, equipment and supplies to stores from the Company’s supply chain center operations in the United States and Canada. It is primarily a franchisor, with approximately 99% of its global stores owned and operated by its independent franchisees. In its international markets, the Company generally grants geographical rights to the Domino’s Pizza brand to master franchisees.</v>
    <v>10700</v>
    <v>Nasdaq Stock Market</v>
    <v>XNAS</v>
    <v>XNAS</v>
    <v>30 Frank Lloyd Wright Drive, ANN ARBOR, MI, 48105 US</v>
    <v>481.93</v>
    <v>Hotels &amp; Entertainment Services</v>
    <v>Stock</v>
    <v>45800.974172106253</v>
    <v>1033</v>
    <v>476.52</v>
    <v>16450630000</v>
    <v>DOMINO'S PIZZA, INC.</v>
    <v>DOMINO'S PIZZA, INC.</v>
    <v>476.52</v>
    <v>27.7072</v>
    <v>482.26</v>
    <v>480.43</v>
    <v>479.9</v>
    <v>34241480</v>
    <v>DPZ</v>
    <v>DOMINO'S PIZZA, INC. (XNAS:DPZ)</v>
    <v>352287</v>
    <v>559492</v>
    <v>2002</v>
  </rv>
  <rv s="4">
    <v>1034</v>
  </rv>
  <rv s="0">
    <v>https://www.bing.com/financeapi/forcetrigger?t=a1x7im&amp;q=XNYS%3aLVS&amp;form=skydnc</v>
    <v>Learn more on Bing</v>
  </rv>
  <rv s="5">
    <v>en-CA</v>
    <v>a1x7im</v>
    <v>268435456</v>
    <v>1</v>
    <v>Powered by Refinitiv</v>
    <v>7</v>
    <v>LAS VEGAS SANDS CORP. (XNYS:LVS)</v>
    <v>8</v>
    <v>9</v>
    <v>Finance</v>
    <v>5</v>
    <v>56.604999999999997</v>
    <v>30.18</v>
    <v>1.0042</v>
    <v>-0.28999999999999998</v>
    <v>2.0100000000000001E-3</v>
    <v>-7.2340000000000008E-3</v>
    <v>0.08</v>
    <v>USD</v>
    <v>Las Vegas Sands Corp. is a global developer and operator of destination properties (Integrated Resorts). The Integrated Resorts feature accommodations, gaming, entertainment and retail malls, convention and exhibition facilities, celebrity chef restaurants and other amenities. Its properties also cater to high-end players by providing them with luxury amenities and premium service levels. Its other amenities include luxury accommodations, restaurants, lounges, invitation-only clubs and private gaming salons. Its principal operating and developmental activities occur in two geographic areas: Macao and Singapore. In Macao, it owns The Venetian Macao Resort Hotel; The Londoner Macao; The Parisian Macao; The Plaza Macao and Four Seasons Macao, and Sands Macao. In Singapore, it owns Marina Bay Sands. It also has ferry operations. It owns and operates a collection of Integrated Resorts in the Macao Special Administrative Region of the People's Republic of China (PRC) through Sands China Ltd.</v>
    <v>39900</v>
    <v>New York Stock Exchange</v>
    <v>XNYS</v>
    <v>XNYS</v>
    <v>5420 S. Durango Drive, LAS VEGAS, NV, 89113 US</v>
    <v>40.164999999999999</v>
    <v>Hotels &amp; Entertainment Services</v>
    <v>Stock</v>
    <v>45800.982493089847</v>
    <v>1036</v>
    <v>39.36</v>
    <v>28123780000</v>
    <v>LAS VEGAS SANDS CORP.</v>
    <v>LAS VEGAS SANDS CORP.</v>
    <v>39.39</v>
    <v>22.334</v>
    <v>40.090000000000003</v>
    <v>39.799999999999997</v>
    <v>39.880000000000003</v>
    <v>706627600</v>
    <v>LVS</v>
    <v>LAS VEGAS SANDS CORP. (XNYS:LVS)</v>
    <v>4453336</v>
    <v>6436107</v>
    <v>2004</v>
  </rv>
  <rv s="4">
    <v>1037</v>
  </rv>
  <rv s="0">
    <v>https://www.bing.com/financeapi/forcetrigger?t=a213kr&amp;q=XNAS%3aPOOL&amp;form=skydnc</v>
    <v>Learn more on Bing</v>
  </rv>
  <rv s="5">
    <v>en-CA</v>
    <v>a213kr</v>
    <v>268435456</v>
    <v>1</v>
    <v>Powered by Refinitiv</v>
    <v>7</v>
    <v>POOL CORPORATION (XNAS:POOL)</v>
    <v>8</v>
    <v>9</v>
    <v>Finance</v>
    <v>5</v>
    <v>395.59710000000001</v>
    <v>284.27499999999998</v>
    <v>1.1353</v>
    <v>-1.18</v>
    <v>-2.977E-3</v>
    <v>-3.888E-3</v>
    <v>-0.9</v>
    <v>USD</v>
    <v>Pool Corporation is a wholesale distributor of swimming pool supplies, equipment, and related leisure products. The Company also distributes irrigation and landscape products in the United States. The Company operates approximately 448 sales centers in North America, Europe, and Australia through its five distribution networks: SCP Distributors (SCP), Superior Pool Products (Superior), Horizon Distributors (Horizon), National Pool Tile (NPT), and Sun Wholesale Supply (Sun Wholesale). The Company distributes swimming pool supplies, equipment, and related leisure products domestically through its SCP and Superior sales center networks through SCP network. Its Horizon sales centers offer organic fertilizers, organic pesticides, and irrigation and drainage products that reduce water usage and soil erosion. Sun Wholesale distributes swimming pool supplies, equipment, and related leisure products, primarily servicing independently owned and operated Pinch A Penny, Inc. franchise locations.</v>
    <v>6000</v>
    <v>Nasdaq Stock Market</v>
    <v>XNAS</v>
    <v>XNAS</v>
    <v>109 Northpark Boulevard, COVINGTON, LA, 70433-5001 US</v>
    <v>303.38</v>
    <v>Leisure Products</v>
    <v>Stock</v>
    <v>45800.998967939064</v>
    <v>1039</v>
    <v>299.08999999999997</v>
    <v>11364660000</v>
    <v>POOL CORPORATION</v>
    <v>POOL CORPORATION</v>
    <v>299.08999999999997</v>
    <v>28.4572</v>
    <v>303.47000000000003</v>
    <v>302.29000000000002</v>
    <v>301.39</v>
    <v>37595210</v>
    <v>POOL</v>
    <v>POOL CORPORATION (XNAS:POOL)</v>
    <v>363877</v>
    <v>569443</v>
    <v>1993</v>
  </rv>
  <rv s="4">
    <v>1040</v>
  </rv>
  <rv s="0">
    <v>https://www.bing.com/financeapi/forcetrigger?t=axxudm&amp;q=XNYS%3aNCLH&amp;form=skydnc</v>
    <v>Learn more on Bing</v>
  </rv>
  <rv s="5">
    <v>en-CA</v>
    <v>axxudm</v>
    <v>268435456</v>
    <v>1</v>
    <v>Powered by Refinitiv</v>
    <v>7</v>
    <v>NORWEGIAN CRUISE LINE HOLDINGS LTD. (XNYS:NCLH)</v>
    <v>8</v>
    <v>9</v>
    <v>Finance</v>
    <v>5</v>
    <v>29.29</v>
    <v>14.21</v>
    <v>2.1339000000000001</v>
    <v>-0.12</v>
    <v>-5.8310000000000002E-4</v>
    <v>-6.8810000000000008E-3</v>
    <v>-1.01E-2</v>
    <v>USD</v>
    <v>Norwegian Cruise Line Holdings Ltd. is a global cruise company. The Company operates Norwegian Cruise Line, Oceania Cruises and Regent Seven Seas Cruises. With a combined fleet of 32 ships and over 66,500 berths, it offers itineraries to over 700 destinations worldwide. Its brands offer itineraries to worldwide destinations, including Europe, Asia, Australia, New Zealand, South America, Africa, Canada, Bermuda, Caribbean, Alaska and Hawaii. All its brands offer an assortment of features, amenities and activities, including a variety of accommodations, multiple dining venues, bars and lounges, spa, casino and retail shopping areas and numerous entertainment choices. All brands also offer a selection of shore excursions at each port of call, as well as air transportation and hotel packages for stays before or after a voyage. Norwegian’s ships cater to a variety of travelers with up to 20 dining options. Oceania Cruises offers onboard dining, with multiple open-seating dining venues.</v>
    <v>36500</v>
    <v>New York Stock Exchange</v>
    <v>XNYS</v>
    <v>XNYS</v>
    <v>7665 CORPORATE DRIVE, MIAMI, FL, 33126 US</v>
    <v>17.399999999999999</v>
    <v>Hotels &amp; Entertainment Services</v>
    <v>Stock</v>
    <v>45800.999271168752</v>
    <v>1042</v>
    <v>16.87</v>
    <v>7738692000</v>
    <v>NORWEGIAN CRUISE LINE HOLDINGS LTD.</v>
    <v>NORWEGIAN CRUISE LINE HOLDINGS LTD.</v>
    <v>16.91</v>
    <v>10.6305</v>
    <v>17.440000000000001</v>
    <v>17.32</v>
    <v>17.309899999999999</v>
    <v>446806700</v>
    <v>NCLH</v>
    <v>NORWEGIAN CRUISE LINE HOLDINGS LTD. (XNYS:NCLH)</v>
    <v>7429696</v>
    <v>15375146</v>
    <v>2011</v>
  </rv>
  <rv s="4">
    <v>1043</v>
  </rv>
  <rv s="0">
    <v>https://www.bing.com/financeapi/forcetrigger?t=a1ug1h&amp;q=XNAS%3aHAS&amp;form=skydnc</v>
    <v>Learn more on Bing</v>
  </rv>
  <rv s="5">
    <v>en-CA</v>
    <v>a1ug1h</v>
    <v>268435456</v>
    <v>1</v>
    <v>Powered by Refinitiv</v>
    <v>7</v>
    <v>Hasbro, Inc. (XNAS:HAS)</v>
    <v>8</v>
    <v>9</v>
    <v>Finance</v>
    <v>5</v>
    <v>73.459999999999994</v>
    <v>49</v>
    <v>0.54810000000000003</v>
    <v>-0.56999999999999995</v>
    <v>5.3169999999999997E-3</v>
    <v>-8.5840000000000014E-3</v>
    <v>0.35</v>
    <v>USD</v>
    <v>Hasbro, Inc. is a game, intellectual property (IP) and toy company. The Company delivers play experiences to kids, families, and fans around the world, through physical and digital games, video games, and toys, among others. Its Consumer Products segment engages in the sourcing, marketing and sales of toy and game products around the world. Its Wizards of the Coast and Digital Gaming segment engages in the promotion of the Company's brands through the development of trading cards, role-playing and digital game experiences based on Hasbro and Wizards of the Coast games. Its Entertainment segment engages in the development and production of Hasbro-branded entertainment content, including film, television, children’s programming, digital content and live entertainment focused on Hasbro-owned properties. Its portfolio of brands includes MAGIC: THE GATHERING, DUNGEONS &amp; DRAGONS, MONOPOLY, HASBRO GAMES, NERF, TRANSFORMERS, PLAY-DOH and PEPPA PIG, as well as premier partner brands.</v>
    <v>4985</v>
    <v>Nasdaq Stock Market</v>
    <v>XNAS</v>
    <v>XNAS</v>
    <v>1027 Newport Ave, P O Box 1059, PAWTUCKET, RI, 02861 US</v>
    <v>66.14</v>
    <v>Leisure Products</v>
    <v>Stock</v>
    <v>45800.971549003909</v>
    <v>1045</v>
    <v>64.739999999999995</v>
    <v>9224717000</v>
    <v>Hasbro, Inc.</v>
    <v>Hasbro, Inc.</v>
    <v>64.739999999999995</v>
    <v>21.902200000000001</v>
    <v>66.400000000000006</v>
    <v>65.83</v>
    <v>66.180000000000007</v>
    <v>140129400</v>
    <v>HAS</v>
    <v>Hasbro, Inc. (XNAS:HAS)</v>
    <v>1341009</v>
    <v>2384405</v>
    <v>1926</v>
  </rv>
  <rv s="4">
    <v>1046</v>
  </rv>
  <rv s="0">
    <v>https://www.bing.com/financeapi/forcetrigger?t=a2655r&amp;q=XNAS%3aWYNN&amp;form=skydnc</v>
    <v>Learn more on Bing</v>
  </rv>
  <rv s="5">
    <v>en-CA</v>
    <v>a2655r</v>
    <v>268435456</v>
    <v>1</v>
    <v>Powered by Refinitiv</v>
    <v>7</v>
    <v>WYNN RESORTS, LIMITED (XNAS:WYNN)</v>
    <v>8</v>
    <v>9</v>
    <v>Finance</v>
    <v>5</v>
    <v>107.81</v>
    <v>65.25</v>
    <v>1.3637999999999999</v>
    <v>-0.44</v>
    <v>-2.8739999999999998E-3</v>
    <v>-4.8399999999999997E-3</v>
    <v>-0.26</v>
    <v>USD</v>
    <v>Wynn Resorts, Limited is a designer, developer, and operator of integrated resorts featuring luxury hotel rooms, high-end retail space, an array of dining and entertainment options, meeting and convention facilities, and gaming. Its segments include Wynn Palace, Wynn Macau, Las Vegas Operations, Encore Boston Harbor, and Wynn Interactive. Wynn Palace features a luxury hotel tower with a total of 1,706 guest rooms, suites, and villas, offering a health club, spa, salon, and pool. Wynn Palace offers 14 food and beverage outlets, approximately 107,000 square feet of high-end, brand-name retail space, and over 37,000 square feet of meeting and convention space. Wynn Macau features two luxury hotel towers with a total of 1,010 guest rooms and suites, offering two health clubs, two spas, a salon and a pool. Wynn Macau offers 12 food and beverage outlets, approximately 65,400 square feet of high-end, brand-name retail space, and over 31,000 square feet of meeting and convention space.</v>
    <v>28000</v>
    <v>Nasdaq Stock Market</v>
    <v>XNAS</v>
    <v>XNAS</v>
    <v>3131 Las Vegas Blvd S, LAS VEGAS, NV, 89109 US</v>
    <v>90.99</v>
    <v>Hotels &amp; Entertainment Services</v>
    <v>Stock</v>
    <v>45800.999309895313</v>
    <v>1048</v>
    <v>89.06</v>
    <v>9459027000</v>
    <v>WYNN RESORTS, LIMITED</v>
    <v>WYNN RESORTS, LIMITED</v>
    <v>89.405000000000001</v>
    <v>23.569500000000001</v>
    <v>90.91</v>
    <v>90.47</v>
    <v>90.21</v>
    <v>104554300</v>
    <v>WYNN</v>
    <v>WYNN RESORTS, LIMITED (XNAS:WYNN)</v>
    <v>1335792</v>
    <v>2386630</v>
    <v>2002</v>
  </rv>
  <rv s="4">
    <v>1049</v>
  </rv>
  <rv s="0">
    <v>https://www.bing.com/financeapi/forcetrigger?t=a1xkhw&amp;q=XNYS%3aMGM&amp;form=skydnc</v>
    <v>Learn more on Bing</v>
  </rv>
  <rv s="5">
    <v>en-CA</v>
    <v>a1xkhw</v>
    <v>268435456</v>
    <v>1</v>
    <v>Powered by Refinitiv</v>
    <v>7</v>
    <v>MGM RESORTS INTERNATIONAL (XNYS:MGM)</v>
    <v>8</v>
    <v>9</v>
    <v>Finance</v>
    <v>5</v>
    <v>47.26</v>
    <v>25.3</v>
    <v>1.7859</v>
    <v>0</v>
    <v>-1.5950000000000001E-3</v>
    <v>0</v>
    <v>-0.05</v>
    <v>USD</v>
    <v>MGM Resorts International is a global gaming and entertainment company with national and international locations featuring hotels and casinos, meetings and conference spaces, live and theatrical entertainment experiences, and a range of restaurant, nightlife and retail offerings. The Company’s segments include Las Vegas Strip Resorts, Regional Operations, MGM China, and MGM Digital. The Las Vegas Strip Resorts segment consists of Aria, Bellagio, The Cosmopolitan of Las Vegas, MGM Grand Las Vegas, Mandalay Bay, Luxor, New York-New York, Excalibur, and Park MGM. The Regional Operations segment consists of MGM Grand Detroit in Detroit, Michigan; Beau Rivage in Biloxi, Mississippi; Gold Strike Tunica in Tunica; Borgata in Atlantic City, New Jersey; MGM National Harbor in Prince George’s County, Maryland; MGM Springfield in Springfield, Massachusetts; Empire City in Yonkers, New York, and others. MGM Digital is its online gaming portfolio which is primarily comprised of LeoVegas.</v>
    <v>45000</v>
    <v>New York Stock Exchange</v>
    <v>XNYS</v>
    <v>XNYS</v>
    <v>3600 LAS VEGAS BLVD S, LAS VEGAS, NV, 89109 US</v>
    <v>31.565000000000001</v>
    <v>Hotels &amp; Entertainment Services</v>
    <v>Stock</v>
    <v>45800.987899918749</v>
    <v>1051</v>
    <v>30.574999999999999</v>
    <v>8531874285</v>
    <v>MGM RESORTS INTERNATIONAL</v>
    <v>MGM RESORTS INTERNATIONAL</v>
    <v>30.65</v>
    <v>14.041700000000001</v>
    <v>31.35</v>
    <v>31.35</v>
    <v>31.3</v>
    <v>272149100</v>
    <v>MGM</v>
    <v>MGM RESORTS INTERNATIONAL (XNYS:MGM)</v>
    <v>2980226</v>
    <v>5225185</v>
    <v>1986</v>
  </rv>
  <rv s="4">
    <v>1052</v>
  </rv>
  <rv s="0">
    <v>https://www.bing.com/financeapi/forcetrigger?t=a1s5xm&amp;q=XNAS%3aCZR&amp;form=skydnc</v>
    <v>Learn more on Bing</v>
  </rv>
  <rv s="5">
    <v>en-CA</v>
    <v>a1s5xm</v>
    <v>268435456</v>
    <v>1</v>
    <v>Powered by Refinitiv</v>
    <v>7</v>
    <v>CAESARS ENTERTAINMENT, INC. (XNAS:CZR)</v>
    <v>8</v>
    <v>9</v>
    <v>Finance</v>
    <v>5</v>
    <v>45.93</v>
    <v>21.4</v>
    <v>2.3513999999999999</v>
    <v>-0.18</v>
    <v>6.862E-3</v>
    <v>-6.4590000000000003E-3</v>
    <v>0.19</v>
    <v>USD</v>
    <v>Caesars Entertainment, Inc. is a casino-entertainment company and a diversified gaming and hospitality provider. The Company operates primarily under the Caesars, Harrah’s, Horseshoe, and Eldorado brand names. Its segments include Las Vegas, Regional, Caesars Digital, and Managed and Branded, in addition to Corporate and Other. It offers diversified gaming, entertainment and hospitality amenities, destinations, and a full suite of mobile and online gaming and sports betting experiences. The Company owns, leases or manages an aggregate of 53 domestic properties in 18 states. It also operates and conducts sports wagering across 32 jurisdictions in North America, 26 of which offer online sports betting, and operates iGaming in five jurisdictions in North America. It operates the Caesars Sportsbook app, the Caesars Racebook app, the Caesars Palace Online Casino app and the new Horseshoe Online Casino app. Its online casino games include slots, table games, live dealer and video poker.</v>
    <v>50000</v>
    <v>Nasdaq Stock Market</v>
    <v>XNAS</v>
    <v>XNAS</v>
    <v>100 West Liberty Street, 12Th Floor, RENO, NV, 89501 US</v>
    <v>27.9283</v>
    <v>Hotels &amp; Entertainment Services</v>
    <v>Stock</v>
    <v>45800.997870948435</v>
    <v>1054</v>
    <v>27.060099999999998</v>
    <v>5758637000</v>
    <v>CAESARS ENTERTAINMENT, INC.</v>
    <v>CAESARS ENTERTAINMENT, INC.</v>
    <v>27.1</v>
    <v>0</v>
    <v>27.87</v>
    <v>27.69</v>
    <v>27.88</v>
    <v>207968100</v>
    <v>CZR</v>
    <v>CAESARS ENTERTAINMENT, INC. (XNAS:CZR)</v>
    <v>4038595</v>
    <v>5514709</v>
    <v>2020</v>
  </rv>
  <rv s="4">
    <v>1055</v>
  </rv>
  <rv s="0">
    <v>https://www.bing.com/financeapi/forcetrigger?t=a21gh7&amp;q=XNYS%3aPWR&amp;form=skydnc</v>
    <v>Learn more on Bing</v>
  </rv>
  <rv s="5">
    <v>en-CA</v>
    <v>a21gh7</v>
    <v>268435456</v>
    <v>1</v>
    <v>Powered by Refinitiv</v>
    <v>7</v>
    <v>QUANTA SERVICES, INC. (XNYS:PWR)</v>
    <v>8</v>
    <v>9</v>
    <v>Finance</v>
    <v>5</v>
    <v>365.88</v>
    <v>227.08</v>
    <v>1.0597000000000001</v>
    <v>4.53</v>
    <v>3.9960000000000004E-3</v>
    <v>1.3693E-2</v>
    <v>1.34</v>
    <v>USD</v>
    <v>Quanta Services, Inc. provides specialized infrastructure solutions to the utility, renewable energy, technology, communications, pipeline, and energy industries in the United States, Canada, Australia and select other international markets. The Company provides engineering, procurement, construction, upgrade and repair and maintenance services for infrastructure within each of these industries, including electric power transmission and distribution networks; substation facilities; wind and solar generation and transmission and battery storage facilities; electrical systems for data center, commercial and industrial facilities; communications and cable multi-system operator networks; gas utility systems; pipeline transmission systems and facilities, and downstream industrial facilities. It operates through three segments: Electric Power Infrastructure Solutions, Renewable Energy Infrastructure Solutions and Underground Utility and Infrastructure Solutions.</v>
    <v>58400</v>
    <v>New York Stock Exchange</v>
    <v>XNYS</v>
    <v>XNYS</v>
    <v>2727 NORTH LOOP WEST, HOUSTON, TX, 77008 US</v>
    <v>336.79320000000001</v>
    <v>Construction &amp; Engineering</v>
    <v>Stock</v>
    <v>45800.998949941408</v>
    <v>1057</v>
    <v>326.88499999999999</v>
    <v>49699920000</v>
    <v>QUANTA SERVICES, INC.</v>
    <v>QUANTA SERVICES, INC.</v>
    <v>329.2</v>
    <v>53.475299999999997</v>
    <v>330.83</v>
    <v>335.36</v>
    <v>336.7</v>
    <v>148198700</v>
    <v>PWR</v>
    <v>QUANTA SERVICES, INC. (XNYS:PWR)</v>
    <v>932591</v>
    <v>1341210</v>
    <v>1997</v>
  </rv>
  <rv s="4">
    <v>1058</v>
  </rv>
  <rv s="0">
    <v>https://www.bing.com/financeapi/forcetrigger?t=a25f6h&amp;q=XNYS%3aVMC&amp;form=skydnc</v>
    <v>Learn more on Bing</v>
  </rv>
  <rv s="5">
    <v>en-CA</v>
    <v>a25f6h</v>
    <v>268435456</v>
    <v>1</v>
    <v>Powered by Refinitiv</v>
    <v>7</v>
    <v>VULCAN MATERIALS COMPANY (XNYS:VMC)</v>
    <v>8</v>
    <v>9</v>
    <v>Finance</v>
    <v>5</v>
    <v>298.31</v>
    <v>215.08</v>
    <v>0.85199999999999998</v>
    <v>-3</v>
    <v>-2.797E-3</v>
    <v>-1.1062000000000001E-2</v>
    <v>-0.75</v>
    <v>USD</v>
    <v>Vulcan Materials Company is a supplier of construction aggregates and producer of aggregates-based construction materials. The Company’s segments include Aggregates, Asphalt and Concrete. The Aggregates segment produces and sells aggregates, such as crushed stone, sand and gravel, sand, and other aggregates and related products and services. This segment also includes a production stage and leased calcium operation located in Brooksville, Florida. This limestone quarry produces a supplement for end-use products such as animal feed and plastics. The Asphalt segment produces and sells asphalt mix in Alabama, Arizona, California, New Mexico, Tennessee and Texas and provides asphalt construction paving services in Alabama, Tennessee and Texas. The Concrete segment produces and sells ready-mixed concrete in California, Maryland and Virginia. The Company provides the basic materials for the infrastructure delivered by trucks, ships, barges, and trains.</v>
    <v>11436</v>
    <v>New York Stock Exchange</v>
    <v>XNYS</v>
    <v>XNYS</v>
    <v>1200 Urban Center Drive, BIRMINGHAM, AL, 35242 US</v>
    <v>270.125</v>
    <v>Construction Materials</v>
    <v>Stock</v>
    <v>45800.977027892972</v>
    <v>1060</v>
    <v>266.63</v>
    <v>35428840000</v>
    <v>VULCAN MATERIALS COMPANY</v>
    <v>VULCAN MATERIALS COMPANY</v>
    <v>268.36</v>
    <v>38.1858</v>
    <v>271.19</v>
    <v>268.19</v>
    <v>267.44</v>
    <v>132103500</v>
    <v>VMC</v>
    <v>VULCAN MATERIALS COMPANY (XNYS:VMC)</v>
    <v>816417</v>
    <v>915090</v>
    <v>2007</v>
  </rv>
  <rv s="4">
    <v>1061</v>
  </rv>
  <rv s="0">
    <v>https://www.bing.com/financeapi/forcetrigger?t=a1xp2w&amp;q=XNYS%3aMLM&amp;form=skydnc</v>
    <v>Learn more on Bing</v>
  </rv>
  <rv s="5">
    <v>en-CA</v>
    <v>a1xp2w</v>
    <v>268435456</v>
    <v>1</v>
    <v>Powered by Refinitiv</v>
    <v>7</v>
    <v>MARTIN MARIETTA MATERIALS, INC. (XNYS:MLM)</v>
    <v>8</v>
    <v>9</v>
    <v>Finance</v>
    <v>5</v>
    <v>633.23</v>
    <v>441.94499999999999</v>
    <v>0.90229999999999999</v>
    <v>-2.97</v>
    <v>0</v>
    <v>-5.2599999999999999E-3</v>
    <v>0</v>
    <v>USD</v>
    <v>Martin Marietta Materials, Inc. is a natural resource-based building materials company. The Company supplies aggregates (crushed stone, sand and gravel) through its network of approximately 390 quarries, mines and distribution yards in 28 states, Canada and The Bahamas. It also provides cement and downstream products, namely, ready mixed concrete, asphalt and paving services in targeted markets. It conducts its Building Materials business through two segments, organized by geography: East Group and West Group. The East Group provides aggregates and asphalt products. The West Group provides aggregates, cement, downstream products and paving services. The Company’s Magnesia Specialties business provides a full range of magnesium oxide, magnesium hydroxide and dolomitic lime products. Its magnesia-based chemical products are used in industrial, agricultural and environmental applications. It also produces dolomitic lime sold to customers for steel production and soil stabilization.</v>
    <v>9400</v>
    <v>New York Stock Exchange</v>
    <v>XNYS</v>
    <v>XNYS</v>
    <v>4123 PARKLAKE AVE, RALEIGH, NC, 27612 US</v>
    <v>564.58000000000004</v>
    <v>Construction Materials</v>
    <v>Stock</v>
    <v>45800.958333344533</v>
    <v>1063</v>
    <v>556.72</v>
    <v>33863520000</v>
    <v>MARTIN MARIETTA MATERIALS, INC.</v>
    <v>MARTIN MARIETTA MATERIALS, INC.</v>
    <v>558.20000000000005</v>
    <v>32.511699999999998</v>
    <v>564.69000000000005</v>
    <v>561.72</v>
    <v>561.72</v>
    <v>60285410</v>
    <v>MLM</v>
    <v>MARTIN MARIETTA MATERIALS, INC. (XNYS:MLM)</v>
    <v>362949</v>
    <v>426329</v>
    <v>1993</v>
  </rv>
  <rv s="4">
    <v>1064</v>
  </rv>
  <rv s="0">
    <v>https://www.bing.com/financeapi/forcetrigger?t=a269ec&amp;q=XNYS%3aXOM&amp;form=skydnc</v>
    <v>Learn more on Bing</v>
  </rv>
  <rv s="5">
    <v>en-CA</v>
    <v>a269ec</v>
    <v>268435456</v>
    <v>1</v>
    <v>Powered by Refinitiv</v>
    <v>7</v>
    <v>EXXON MOBIL CORPORATION (XNYS:XOM)</v>
    <v>8</v>
    <v>9</v>
    <v>Finance</v>
    <v>5</v>
    <v>126.34</v>
    <v>97.8</v>
    <v>0.47639999999999999</v>
    <v>0.06</v>
    <v>0</v>
    <v>5.8270000000000001E-4</v>
    <v>0</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103.47</v>
    <v>Oil &amp; Gas</v>
    <v>Stock</v>
    <v>45800.998468286722</v>
    <v>1066</v>
    <v>102.07</v>
    <v>444059300000</v>
    <v>EXXON MOBIL CORPORATION</v>
    <v>EXXON MOBIL CORPORATION</v>
    <v>102.595</v>
    <v>13.633599999999999</v>
    <v>102.97</v>
    <v>103.03</v>
    <v>103.03</v>
    <v>4310000000</v>
    <v>XOM</v>
    <v>EXXON MOBIL CORPORATION (XNYS:XOM)</v>
    <v>12061606</v>
    <v>14888844</v>
    <v>1882</v>
  </rv>
  <rv s="4">
    <v>1067</v>
  </rv>
  <rv s="0">
    <v>https://www.bing.com/financeapi/forcetrigger?t=a1qlz2&amp;q=XNYS%3aCVX&amp;form=skydnc</v>
    <v>Learn more on Bing</v>
  </rv>
  <rv s="5">
    <v>en-CA</v>
    <v>a1qlz2</v>
    <v>268435456</v>
    <v>1</v>
    <v>Powered by Refinitiv</v>
    <v>7</v>
    <v>CHEVRON CORPORATION (XNYS:CVX)</v>
    <v>8</v>
    <v>9</v>
    <v>Finance</v>
    <v>5</v>
    <v>168.96</v>
    <v>132.04</v>
    <v>0.80989999999999995</v>
    <v>1.25</v>
    <v>-2.9300000000000002E-4</v>
    <v>9.2390000000000007E-3</v>
    <v>-0.04</v>
    <v>USD</v>
    <v>Chevron Corporation is an integrated energy company. The Company produces crude oil and natural gas; manufactures transportation fuels, lubricants, petrochemicals and additives; and develops technologies that enhance our business and the industry. The Company’s upstream operations consist primarily of exploring for, developing, producing and transporting crude oil and natural gas; liquefaction, transportation and regasification associated with liquefied natural gas (LNG); transporting crude oil by major international oil export pipelines; processing, transporting, storage and marketing of natural gas; carbon capture and storage; and a gas-to-liquids plant. The Company’s downstream operations consist primarily of refining of crude oil into petroleum products; marketing of crude oil, refined products, and lubricants; manufacturing and marketing of renewable fuels; transporting of crude oil and refined products by pipeline, marine vessel, motor equipment and rail car; and others.</v>
    <v>45298</v>
    <v>New York Stock Exchange</v>
    <v>XNYS</v>
    <v>XNYS</v>
    <v>1400 SMITH STREET, HOUSTON, TX, 77002 US</v>
    <v>136.79</v>
    <v>Oil &amp; Gas</v>
    <v>Stock</v>
    <v>45800.999656053122</v>
    <v>1069</v>
    <v>134.06</v>
    <v>238497000000</v>
    <v>CHEVRON CORPORATION</v>
    <v>CHEVRON CORPORATION</v>
    <v>134.38999999999999</v>
    <v>15.513400000000001</v>
    <v>135.29</v>
    <v>136.54</v>
    <v>136.5</v>
    <v>1746719000</v>
    <v>CVX</v>
    <v>CHEVRON CORPORATION (XNYS:CVX)</v>
    <v>7025946</v>
    <v>8603817</v>
    <v>1926</v>
  </rv>
  <rv s="4">
    <v>1070</v>
  </rv>
  <rv s="0">
    <v>https://www.bing.com/financeapi/forcetrigger?t=a1q5nm&amp;q=XNYS%3aCOP&amp;form=skydnc</v>
    <v>Learn more on Bing</v>
  </rv>
  <rv s="5">
    <v>en-CA</v>
    <v>a1q5nm</v>
    <v>268435456</v>
    <v>1</v>
    <v>Powered by Refinitiv</v>
    <v>7</v>
    <v>CONOCOPHILLIPS (XNYS:COP)</v>
    <v>8</v>
    <v>9</v>
    <v>Finance</v>
    <v>5</v>
    <v>119.43</v>
    <v>79.88</v>
    <v>0.6351</v>
    <v>-0.94</v>
    <v>1.8779999999999999E-3</v>
    <v>-1.0914E-2</v>
    <v>0.16</v>
    <v>USD</v>
    <v>ConocoPhillips is an exploration and production company. Its Alaska segment primarily explores for, produces, transports and markets crude oil, natural gas and NGLs. The Lower 48 segment consists of operations located in the 48 contiguous states in the United States and the Gulf of Mexico. Canadian operations consist of the Surmont oil sands development in Alberta, the liquids-rich Montney unconventional play in British Columbia and commercial operations. The Europe, Middle East and North Africa segment consists of operations principally located in the Norwegian sector of the North Sea, the Norwegian Sea, Qatar, Libya, Equatorial Guinea and commercial and terminalling operations in the United Kingdom. Asia Pacific segment has exploration and production operations in China, Malaysia, Australia and commercial operations in China, Singapore and Japan. Other International segment includes interests in Colombia as well as contingencies associated with prior operations in other countries.</v>
    <v>11800</v>
    <v>New York Stock Exchange</v>
    <v>XNYS</v>
    <v>XNYS</v>
    <v>925 N. Eldridge Parkway, HOUSTON, TX, 77079-2703 US</v>
    <v>85.72</v>
    <v>Oil &amp; Gas</v>
    <v>Stock</v>
    <v>45800.999674941406</v>
    <v>1072</v>
    <v>84.774000000000001</v>
    <v>107544700000</v>
    <v>CONOCOPHILLIPS</v>
    <v>CONOCOPHILLIPS</v>
    <v>85.04</v>
    <v>10.932700000000001</v>
    <v>86.13</v>
    <v>85.19</v>
    <v>85.35</v>
    <v>1262410000</v>
    <v>COP</v>
    <v>CONOCOPHILLIPS (XNYS:COP)</v>
    <v>6789594</v>
    <v>7520853</v>
    <v>2001</v>
  </rv>
  <rv s="4">
    <v>1073</v>
  </rv>
  <rv s="0">
    <v>https://www.bing.com/financeapi/forcetrigger?t=a1s24c&amp;q=XNYS%3aEOG&amp;form=skydnc</v>
    <v>Learn more on Bing</v>
  </rv>
  <rv s="5">
    <v>en-CA</v>
    <v>a1s24c</v>
    <v>268435456</v>
    <v>1</v>
    <v>Powered by Refinitiv</v>
    <v>7</v>
    <v>EOG RESOURCES, INC. (XNYS:EOG)</v>
    <v>8</v>
    <v>9</v>
    <v>Finance</v>
    <v>5</v>
    <v>138.18</v>
    <v>102.52</v>
    <v>0.76670000000000005</v>
    <v>-0.61</v>
    <v>-9.9839999999999998E-4</v>
    <v>-5.5059999999999996E-3</v>
    <v>-0.11</v>
    <v>USD</v>
    <v>EOG Resources, Inc. is a crude oil and natural gas exploration and production company. The Company explores, develops, produces, and markets crude oil, natural gas liquids (NGLs) and natural gas primarily in major producing basins in the United States, the Republic of Trinidad and Tobago (Trinidad) and, from time to time, selects other international areas. Its operations are located in the basins of the United States with a focus on crude oil and natural gas plays. It is focused on the Wolfcamp, Bone Spring, and Leonard plays. The South Texas area includes the Eagle Ford play and the Dorado gas play. It holds approximately 535,000 total net acres in the Eagle Ford play and approximately 160,000 net acres in the Dorado gas play. In Trinidad, the Company, through its subsidiaries, including EOG Resources Trinidad Limited, holds interests in the exploration and production licenses covering the South East Coast Consortium (SECC) and Pelican Blocks, Banyan and Sercan Areas, and others.</v>
    <v>3150</v>
    <v>New York Stock Exchange</v>
    <v>XNYS</v>
    <v>XNYS</v>
    <v>1111 Bagby, Sky Lobby 2, HOUSTON, TX, 77002 US</v>
    <v>110.6</v>
    <v>Oil &amp; Gas</v>
    <v>Stock</v>
    <v>45800.980210462498</v>
    <v>1075</v>
    <v>109.31</v>
    <v>60134810000</v>
    <v>EOG RESOURCES, INC.</v>
    <v>EOG RESOURCES, INC.</v>
    <v>109.31</v>
    <v>10.266400000000001</v>
    <v>110.79</v>
    <v>110.18</v>
    <v>110.07</v>
    <v>545787000</v>
    <v>EOG</v>
    <v>EOG RESOURCES, INC. (XNYS:EOG)</v>
    <v>1993261</v>
    <v>3749262</v>
    <v>1985</v>
  </rv>
  <rv s="4">
    <v>1076</v>
  </rv>
  <rv s="0">
    <v>https://www.bing.com/financeapi/forcetrigger?t=a25xm7&amp;q=XNYS%3aWMB&amp;form=skydnc</v>
    <v>Learn more on Bing</v>
  </rv>
  <rv s="5">
    <v>en-CA</v>
    <v>a25xm7</v>
    <v>268435456</v>
    <v>1</v>
    <v>Powered by Refinitiv</v>
    <v>7</v>
    <v>THE WILLIAMS COMPANIES, INC. (XNYS:WMB)</v>
    <v>8</v>
    <v>9</v>
    <v>Finance</v>
    <v>5</v>
    <v>61.664999999999999</v>
    <v>39.880000000000003</v>
    <v>0.6744</v>
    <v>1.24</v>
    <v>-7.7980000000000002E-3</v>
    <v>2.1472000000000002E-2</v>
    <v>-0.46</v>
    <v>USD</v>
    <v>The Williams Companies, Inc. is an energy company. Its segments include Transmission &amp; Gulf of America, Northeast G&amp;P, West, and Gas &amp; NGL Marketing Services. The Transmission &amp; Gulf of America segment comprises the Transco, NWP, and MountainWest interstate natural gas pipelines, and their related natural gas storage facilities, as well as natural gas gathering and processing and crude oil production handling and transportation assets in the Gulf Coast region. Northeast G&amp;P comprises midstream gathering, processing, and fractionation businesses in the Marcellus Shale region. The West segment comprises gas gathering, processing, and treating operations in the Rocky Mountain region of Colorado and Wyoming, the Barnett Shale region of north-central Texas, and the Eagle Ford Shale region of south Texas, among others. The Gas &amp; NGL Marketing Services segment includes natural gas liquids (NGL) and natural gas marketing and trading operations.</v>
    <v>5829</v>
    <v>New York Stock Exchange</v>
    <v>XNYS</v>
    <v>XNYS</v>
    <v>One Williams Ctr, TULSA, OK, 74172 US</v>
    <v>59.09</v>
    <v>Oil &amp; Gas Related Equipment and Services</v>
    <v>Stock</v>
    <v>45800.974122349216</v>
    <v>1078</v>
    <v>57.62</v>
    <v>72027160000</v>
    <v>THE WILLIAMS COMPANIES, INC.</v>
    <v>THE WILLIAMS COMPANIES, INC.</v>
    <v>57.7</v>
    <v>31.048400000000001</v>
    <v>57.75</v>
    <v>58.99</v>
    <v>58.53</v>
    <v>1221006000</v>
    <v>WMB</v>
    <v>THE WILLIAMS COMPANIES, INC. (XNYS:WMB)</v>
    <v>7191421</v>
    <v>6144954</v>
    <v>1987</v>
  </rv>
  <rv s="4">
    <v>1079</v>
  </rv>
  <rv s="0">
    <v>https://www.bing.com/financeapi/forcetrigger?t=a232mw&amp;q=XNYS%3aSLB&amp;form=skydnc</v>
    <v>Learn more on Bing</v>
  </rv>
  <rv s="5">
    <v>en-CA</v>
    <v>a232mw</v>
    <v>268435456</v>
    <v>1</v>
    <v>Powered by Refinitiv</v>
    <v>7</v>
    <v>Schlumberger N.V. (XNYS:SLB)</v>
    <v>8</v>
    <v>9</v>
    <v>Finance</v>
    <v>5</v>
    <v>50.94</v>
    <v>31.11</v>
    <v>1.0448</v>
    <v>-0.09</v>
    <v>2.6740000000000002E-3</v>
    <v>-2.6670000000000001E-3</v>
    <v>0.09</v>
    <v>USD</v>
    <v>Schlumberger N.V. is a global technology company. It operates in four segments: Digital &amp; Integration, Reservoir Performance, Well Construction, and Production Systems. The Digital &amp; Integration segment combines its digital solutions and data products with its integrated offering of Asset Performance Solutions (APS). The Reservoir Performance segment consists of reservoir-centric technologies and services that are critical to optimizing reservoir productivity and performance. The Well Construction segment combines the full portfolio of products and services to optimize well placement and performance, maximize drilling efficiency, and improve wellbore assurance. The segment provides operators and drilling rig manufacturers with services and products related to designing and constructing a well. The Production Systems segment develops technologies and provides knowledge that enhances production and recovery from subsurface reservoirs to the surface, into pipelines, and to refineries.</v>
    <v>110000</v>
    <v>New York Stock Exchange</v>
    <v>XNYS</v>
    <v>XNYS</v>
    <v>5599 San Felipe, 17Th Floor, HOUSTON, TX, 77056 US</v>
    <v>33.76</v>
    <v>Oil &amp; Gas Related Equipment and Services</v>
    <v>Stock</v>
    <v>45800.995910462501</v>
    <v>1081</v>
    <v>33.1</v>
    <v>45783040000</v>
    <v>Schlumberger N.V.</v>
    <v>Schlumberger N.V.</v>
    <v>33.119999999999997</v>
    <v>11.452500000000001</v>
    <v>33.75</v>
    <v>33.659999999999997</v>
    <v>33.75</v>
    <v>1360162000</v>
    <v>SLB</v>
    <v>Schlumberger N.V. (XNYS:SLB)</v>
    <v>10467825</v>
    <v>14205956</v>
    <v>1956</v>
  </rv>
  <rv s="4">
    <v>1082</v>
  </rv>
  <rv s="0">
    <v>https://www.bing.com/financeapi/forcetrigger?t=a1z6nm&amp;q=XNYS%3aOKE&amp;form=skydnc</v>
    <v>Learn more on Bing</v>
  </rv>
  <rv s="5">
    <v>en-CA</v>
    <v>a1z6nm</v>
    <v>268435456</v>
    <v>1</v>
    <v>Powered by Refinitiv</v>
    <v>7</v>
    <v>ONEOK, INC. (XNYS:OKE)</v>
    <v>8</v>
    <v>9</v>
    <v>Finance</v>
    <v>5</v>
    <v>118.07</v>
    <v>75.474999999999994</v>
    <v>0.94240000000000002</v>
    <v>-0.23</v>
    <v>1.2319999999999999E-4</v>
    <v>-2.8270000000000001E-3</v>
    <v>0.01</v>
    <v>USD</v>
    <v>Oneok, Inc. is a midstream operator that provides gathering, processing, fractionation, transportation and storage services. The Company's segments include Natural Gas Gathering and Processing; Natural Gas Liquids; Natural Gas Pipelines, and Refined Products and Crude. The Natural Gas Gathering and Processing segment provides midstream services to producers in North Dakota, Montana, Wyoming, Kansas and Oklahoma. The Natural Gas Liquids segment owns and operates facilities that gather, fractionate, treat and distribute natural gas liquids (NGLs) and store Purity NGLs, primarily in Oklahoma, Kansas, Texas, New Mexico and the Rocky Mountain region, which includes the Williston, Powder River and DJ Basins. The Natural Gas Pipelines segment transports and stores natural gas. The Refined Products and Crude segment transports, stores and distributes refined products and crude oil, as well as conducts certain commodity-related activities including liquids blending and marketing activities.</v>
    <v>5177</v>
    <v>New York Stock Exchange</v>
    <v>XNYS</v>
    <v>XNYS</v>
    <v>100 W 5th St, TULSA, OK, 74103 US</v>
    <v>81.514099999999999</v>
    <v>Oil &amp; Gas Related Equipment and Services</v>
    <v>Stock</v>
    <v>45800.996028344533</v>
    <v>1084</v>
    <v>80.31</v>
    <v>50682680000</v>
    <v>ONEOK, INC.</v>
    <v>ONEOK, INC.</v>
    <v>80.31</v>
    <v>15.8879</v>
    <v>81.37</v>
    <v>81.14</v>
    <v>81.150000000000006</v>
    <v>624632500</v>
    <v>OKE</v>
    <v>ONEOK, INC. (XNYS:OKE)</v>
    <v>2115578</v>
    <v>3551982</v>
    <v>1997</v>
  </rv>
  <rv s="4">
    <v>1085</v>
  </rv>
  <rv s="0">
    <v>https://www.bing.com/financeapi/forcetrigger?t=a1sp52&amp;q=XNYS%3aFCX&amp;form=skydnc</v>
    <v>Learn more on Bing</v>
  </rv>
  <rv s="5">
    <v>en-CA</v>
    <v>a1sp52</v>
    <v>268435456</v>
    <v>1</v>
    <v>Powered by Refinitiv</v>
    <v>7</v>
    <v>FREEPORT-MCMORAN INC. (XNYS:FCX)</v>
    <v>8</v>
    <v>9</v>
    <v>Finance</v>
    <v>5</v>
    <v>53.89</v>
    <v>27.66</v>
    <v>1.6611</v>
    <v>1.32</v>
    <v>1.5379999999999999E-3</v>
    <v>3.5013000000000002E-2</v>
    <v>0.06</v>
    <v>USD</v>
    <v>Freeport-McMoRan Inc. is an international metals company focused on copper. The Company operates geographically diverse assets with significant proven and probable mineral reserves of copper, gold and molybdenum. The Company's segments include the Morenci and Cerro Verde copper mines, the Indonesia operations (including the Grasberg minerals district and PT-FI’s downstream processing facilities), the Rod &amp; Refining operations and Atlantic Copper Smelting &amp; Refining. Its operations include North America, South America and Indonesia. In North America, it manages seven copper operations: Morenci, Bagdad, Safford (including Lone Star), Sierrita and Miami in Arizona, and Chino and Tyrone in New Mexico, and two molybdenum mines: Henderson and Climax in Colorado. It also operates a copper smelter in Miami, Arizona. In South America, it manages two copper operations: Cerro Verde in Peru and El Abra in Chile. In addition to copper, the Grasberg minerals district also produces gold and silver.</v>
    <v>28500</v>
    <v>New York Stock Exchange</v>
    <v>XNYS</v>
    <v>XNYS</v>
    <v>333 N Central Ave, PHOENIX, AZ, 85004 US</v>
    <v>39.07</v>
    <v>Metals &amp; Mining</v>
    <v>Stock</v>
    <v>45800.998038772654</v>
    <v>1087</v>
    <v>37.22</v>
    <v>56040540000</v>
    <v>FREEPORT-MCMORAN INC.</v>
    <v>FREEPORT-MCMORAN INC.</v>
    <v>37.22</v>
    <v>30.8017</v>
    <v>37.700000000000003</v>
    <v>39.020000000000003</v>
    <v>39.08</v>
    <v>1436200000</v>
    <v>FCX</v>
    <v>FREEPORT-MCMORAN INC. (XNYS:FCX)</v>
    <v>15295482</v>
    <v>12744266</v>
    <v>1987</v>
  </rv>
  <rv s="4">
    <v>1088</v>
  </rv>
  <rv s="0">
    <v>https://www.bing.com/financeapi/forcetrigger?t=a1wkbh&amp;q=XNYS%3aKMI&amp;form=skydnc</v>
    <v>Learn more on Bing</v>
  </rv>
  <rv s="5">
    <v>en-CA</v>
    <v>a1wkbh</v>
    <v>268435456</v>
    <v>1</v>
    <v>Powered by Refinitiv</v>
    <v>7</v>
    <v>KINDER MORGAN, INC. (XNYS:KMI)</v>
    <v>8</v>
    <v>9</v>
    <v>Finance</v>
    <v>5</v>
    <v>31.48</v>
    <v>18.829999999999998</v>
    <v>0.74480000000000002</v>
    <v>0.52</v>
    <v>-2.15E-3</v>
    <v>1.9019999999999999E-2</v>
    <v>-5.9900000000000002E-2</v>
    <v>USD</v>
    <v>Kinder Morgan, Inc. is an energy infrastructure company. The Company owns an interest in or operates approximately 79,000 miles of pipelines and 139 terminals. Its Natural Gas Pipelines segment includes ownership and operation of interstate and intrastate natural gas pipeline and storage systems and natural gas gathering systems and natural gas processing and treating facilities. Its Products Pipelines segment includes ownership and operation of refined petroleum products, crude oil and condensate pipelines that primarily deliver, among other products, gasoline, diesel and jet fuel, crude oil and condensate to various markets, plus the ownership and/or operation of associated product terminals and petroleum pipeline transmix facilities. Its Terminals segment includes ownership and/or operation of liquid and bulk terminal facilities and Jones Act-qualified tankers. Its CO2 segment is engaged in the production, transportation and marketing of CO2 to oil fields.</v>
    <v>10933</v>
    <v>New York Stock Exchange</v>
    <v>XNYS</v>
    <v>XNYS</v>
    <v>1001 Louisiana Street, Suite 1000, HOUSTON, TX, 77002 US</v>
    <v>27.9</v>
    <v>Oil &amp; Gas Related Equipment and Services</v>
    <v>Stock</v>
    <v>45800.989646330469</v>
    <v>1090</v>
    <v>27.2</v>
    <v>61906300000</v>
    <v>KINDER MORGAN, INC.</v>
    <v>KINDER MORGAN, INC.</v>
    <v>27.26</v>
    <v>23.632100000000001</v>
    <v>27.34</v>
    <v>27.86</v>
    <v>27.8001</v>
    <v>2222050000</v>
    <v>KMI</v>
    <v>KINDER MORGAN, INC. (XNYS:KMI)</v>
    <v>12400860</v>
    <v>13448511</v>
    <v>2006</v>
  </rv>
  <rv s="4">
    <v>1091</v>
  </rv>
  <rv s="0">
    <v>https://www.bing.com/financeapi/forcetrigger?t=a21d27&amp;q=XNYS%3aPSX&amp;form=skydnc</v>
    <v>Learn more on Bing</v>
  </rv>
  <rv s="5">
    <v>en-CA</v>
    <v>a21d27</v>
    <v>268435456</v>
    <v>1</v>
    <v>Powered by Refinitiv</v>
    <v>7</v>
    <v>PHILLIPS 66 (XNYS:PSX)</v>
    <v>8</v>
    <v>9</v>
    <v>Finance</v>
    <v>5</v>
    <v>150.12</v>
    <v>91.01</v>
    <v>0.99219999999999997</v>
    <v>0.15</v>
    <v>-2.2100000000000002E-3</v>
    <v>1.328E-3</v>
    <v>-0.25</v>
    <v>USD</v>
    <v>Phillips 66 is a diversified and integrated downstream energy provider that manufactures, transports and markets products. The Company's Midstream segment provides crude oil and refined petroleum product transportation, terminating and processing services, as well as natural gas and natural gas liquids (NGL) transportation, storage, fractionation, gathering, processing and marketing services. Its Chemicals segment consists of its 50% equity investment in Chevron Phillips Chemical Company LLC, which manufactures and markets petrochemicals and plastics on a worldwide basis. Its Refining segment refines crude oil and other feedstocks into petroleum products, such as gasoline, distillates, including aviation fuels. Its Marketing and Specialties segment purchases for resale and markets refined products, mainly in the United States and Europe. Its Renewable Fuels segment processes renewable feedstocks into renewable products at the Rodeo Renewable Energy Complex and at its Humber Refinery.</v>
    <v>13200</v>
    <v>New York Stock Exchange</v>
    <v>XNYS</v>
    <v>XNYS</v>
    <v>2331 Citywest Blvd., HOUSTON, TX, 77042 US</v>
    <v>113.379</v>
    <v>Oil &amp; Gas</v>
    <v>Stock</v>
    <v>45800.975510046097</v>
    <v>1093</v>
    <v>111.41</v>
    <v>46093380000</v>
    <v>PHILLIPS 66</v>
    <v>PHILLIPS 66</v>
    <v>111.52</v>
    <v>25.5839</v>
    <v>112.98</v>
    <v>113.13</v>
    <v>112.88</v>
    <v>407437200</v>
    <v>PSX</v>
    <v>PHILLIPS 66 (XNYS:PSX)</v>
    <v>2248682</v>
    <v>3294158</v>
    <v>2011</v>
  </rv>
  <rv s="4">
    <v>1094</v>
  </rv>
  <rv s="0">
    <v>https://www.bing.com/financeapi/forcetrigger?t=a1xvzr&amp;q=XNYS%3aMPC&amp;form=skydnc</v>
    <v>Learn more on Bing</v>
  </rv>
  <rv s="5">
    <v>en-CA</v>
    <v>a1xvzr</v>
    <v>268435456</v>
    <v>1</v>
    <v>Powered by Refinitiv</v>
    <v>7</v>
    <v>MARATHON PETROLEUM CORPORATION (XNYS:MPC)</v>
    <v>8</v>
    <v>9</v>
    <v>Finance</v>
    <v>5</v>
    <v>183.31</v>
    <v>115.1</v>
    <v>0.85580000000000001</v>
    <v>0.22</v>
    <v>3.771E-4</v>
    <v>1.3850000000000002E-3</v>
    <v>0.06</v>
    <v>USD</v>
    <v>Marathon Petroleum Corporation is an integrated, downstream energy company. The Company’s segments include Refining &amp; Marketing, Midstream and Renewable Diesel. The Refining &amp; Marketing segment refines crude oil and other feedstocks at its refineries in the Gulf Coast, Mid-Continent and West Coast regions of the United States. It sells refined products to wholesale marketing customers domestically and internationally, to buyers on the spot market, and to independent entrepreneurs who operate primarily Marathon branded outlets. The Midstream segment gathers, transports, stores and distributes crude oil, refined products, including renewable diesel, and other hydrocarbon-based products, principally for the Refining &amp; Marketing segment via refining logistics assets, pipelines, terminals, and others. The Renewable Diesel segment processes renewable feedstocks into renewable diesel, markets renewable diesel and distributes renewable products through its Midstream segment and third parties.</v>
    <v>18300</v>
    <v>New York Stock Exchange</v>
    <v>XNYS</v>
    <v>XNYS</v>
    <v>539 SOUTH MAIN STREET, FINDLAY, OH, 45840-3229 US</v>
    <v>160.1</v>
    <v>Oil &amp; Gas</v>
    <v>Stock</v>
    <v>45800.998146423437</v>
    <v>1096</v>
    <v>157.44</v>
    <v>48880790000</v>
    <v>MARATHON PETROLEUM CORPORATION</v>
    <v>MARATHON PETROLEUM CORPORATION</v>
    <v>157.44</v>
    <v>22.319099999999999</v>
    <v>158.88999999999999</v>
    <v>159.11000000000001</v>
    <v>159.16999999999999</v>
    <v>307213800</v>
    <v>MPC</v>
    <v>MARATHON PETROLEUM CORPORATION (XNYS:MPC)</v>
    <v>1576925</v>
    <v>2480348</v>
    <v>2009</v>
  </rv>
  <rv s="4">
    <v>1097</v>
  </rv>
  <rv s="0">
    <v>https://www.bing.com/financeapi/forcetrigger?t=a1ogsm&amp;q=XNAS%3aBKR&amp;form=skydnc</v>
    <v>Learn more on Bing</v>
  </rv>
  <rv s="5">
    <v>en-CA</v>
    <v>a1ogsm</v>
    <v>268435456</v>
    <v>1</v>
    <v>Powered by Refinitiv</v>
    <v>7</v>
    <v>BAKER HUGHES COMPANY (XNAS:BKR)</v>
    <v>8</v>
    <v>9</v>
    <v>Finance</v>
    <v>5</v>
    <v>49.4</v>
    <v>30.93</v>
    <v>0.9002</v>
    <v>0.15</v>
    <v>2.722E-4</v>
    <v>4.0990000000000002E-3</v>
    <v>0.01</v>
    <v>USD</v>
    <v>Baker Hughes Company is an energy technology company with a portfolio of technologies and services that span the energy and industrial value chain. The Company operates in two segments: Oilfield Services &amp; Equipment (OFSE) and Industrial &amp; Energy Technology (IET). OFSE segment provides products and services for onshore and offshore oilfield operations across the lifecycle of a well, ranging from exploration, appraisal, and development, to production, rejuvenation, and decommissioning. OFSE is organized into four product lines: Well Construction; Completions, Intervention, and Measurements; Production Solutions, and Subsea and Surface Pressure Systems. IET segment provides technology solutions and services for mechanical-drive, compression and power-generation applications across the energy industry, including oil and gas, liquefied natural gas (LNG) operations, downstream refining and petrochemical markets, as well as lower carbon solutions to broader energy and industrial sectors.</v>
    <v>57000</v>
    <v>Nasdaq Stock Market</v>
    <v>XNAS</v>
    <v>XNAS</v>
    <v>575 NORTH DAIRY ASHFORD ROAD, SUITE 100, HOUSTON, TX, 77079-1121 US</v>
    <v>36.814999999999998</v>
    <v>Oil &amp; Gas Related Equipment and Services</v>
    <v>Stock</v>
    <v>45800.881496747657</v>
    <v>1099</v>
    <v>36.03</v>
    <v>36400150000</v>
    <v>BAKER HUGHES COMPANY</v>
    <v>BAKER HUGHES COMPANY</v>
    <v>36.07</v>
    <v>12.5076</v>
    <v>36.590000000000003</v>
    <v>36.74</v>
    <v>36.75</v>
    <v>990750000</v>
    <v>BKR</v>
    <v>BAKER HUGHES COMPANY (XNAS:BKR)</v>
    <v>4631992</v>
    <v>8081311</v>
    <v>2016</v>
  </rv>
  <rv s="4">
    <v>1100</v>
  </rv>
  <rv s="0">
    <v>https://www.bing.com/financeapi/forcetrigger?t=a25e77&amp;q=XNYS%3aVLO&amp;form=skydnc</v>
    <v>Learn more on Bing</v>
  </rv>
  <rv s="5">
    <v>en-CA</v>
    <v>a25e77</v>
    <v>268435456</v>
    <v>1</v>
    <v>Powered by Refinitiv</v>
    <v>7</v>
    <v>VALERO ENERGY CORPORATION (XNYS:VLO)</v>
    <v>8</v>
    <v>9</v>
    <v>Finance</v>
    <v>5</v>
    <v>167.78</v>
    <v>99</v>
    <v>0.96079999999999999</v>
    <v>-0.17</v>
    <v>-1.1513000000000001E-2</v>
    <v>-1.3209999999999999E-3</v>
    <v>-1.48</v>
    <v>USD</v>
    <v>Valero Energy Corporation, through its subsidiaries, is a multinational manufacturer and marketer of petroleum-based and low-carbon liquid transportation fuels, and petrochemical products. The Company sells its products primarily in the United States, Canada, the United Kingdom, Ireland and Latin America. The Company operates through three segments: Refining, Renewable Diesel, and Ethanol. The Refining segment includes the operations of its petroleum refineries, the associated activities to market its refined petroleum products, and the logistics assets that support those operations. The Renewable Diesel segment includes the operations of Diamond Green Diesel (DGD) and the associated activities to market renewable diesel and renewable naphtha. The Ethanol segment includes the operations of its ethanol plants and the associated activities to market its ethanol and co-products. The Company owns over 15 petroleum refineries located in the United States, Canada and the United Kingdom.</v>
    <v>9898</v>
    <v>New York Stock Exchange</v>
    <v>XNYS</v>
    <v>XNYS</v>
    <v>P.O. Box 696000, SAN ANTONIO, TX, 78269-6000 US</v>
    <v>129.13</v>
    <v>Oil &amp; Gas</v>
    <v>Stock</v>
    <v>45800.961332245315</v>
    <v>1102</v>
    <v>126.5</v>
    <v>40262650000</v>
    <v>VALERO ENERGY CORPORATION</v>
    <v>VALERO ENERGY CORPORATION</v>
    <v>126.74</v>
    <v>45.383200000000002</v>
    <v>128.72</v>
    <v>128.55000000000001</v>
    <v>127.07</v>
    <v>313206100</v>
    <v>VLO</v>
    <v>VALERO ENERGY CORPORATION (XNYS:VLO)</v>
    <v>2053076</v>
    <v>3009511</v>
    <v>1981</v>
  </rv>
  <rv s="4">
    <v>1103</v>
  </rv>
  <rv s="0">
    <v>https://www.bing.com/financeapi/forcetrigger?t=a24gur&amp;q=XNYS%3aTRGP&amp;form=skydnc</v>
    <v>Learn more on Bing</v>
  </rv>
  <rv s="5">
    <v>en-CA</v>
    <v>a24gur</v>
    <v>268435456</v>
    <v>1</v>
    <v>Powered by Refinitiv</v>
    <v>7</v>
    <v>TARGA RESOURCES CORP. (XNYS:TRGP)</v>
    <v>8</v>
    <v>9</v>
    <v>Finance</v>
    <v>5</v>
    <v>218.51</v>
    <v>113.65</v>
    <v>1.1088</v>
    <v>1.37</v>
    <v>9.9710000000000007E-3</v>
    <v>8.6110000000000006E-3</v>
    <v>1.6</v>
    <v>USD</v>
    <v>Targa Resources Corp. is a provider of midstream services in North America. The Company owns, operates, acquires and develops a diversified portfolio of complementary domestic midstream infrastructure assets and delivers energy across the United States. The Company is engaged in the business of gathering, compressing, treating, processing, transporting, and purchasing and selling natural gas; transporting, storing, fractionating, treating, and purchasing and selling natural gas liquids (NGLs) and NGL products, including services to liquefied petroleum gas (LPG) exporters; and gathering, storing, terminaling, and purchasing and selling crude oil. Its segments are Gathering and Processing, and Logistics and Transportation. Gathering and Processing segment includes assets used in the gathering and/or purchase and sale of natural gas produced from oil and gas wells. Logistics and Transportation segment includes the activities and assets necessary to convert mixed NGLs into NGL products.</v>
    <v>3370</v>
    <v>New York Stock Exchange</v>
    <v>XNYS</v>
    <v>XNYS</v>
    <v>811 Louisiana, Suite 2100, HOUSTON, TX, 77002 US</v>
    <v>161.01</v>
    <v>Oil &amp; Gas Related Equipment and Services</v>
    <v>Stock</v>
    <v>45800.974744652347</v>
    <v>1105</v>
    <v>157.66</v>
    <v>34808890000</v>
    <v>TARGA RESOURCES CORP.</v>
    <v>TARGA RESOURCES CORP.</v>
    <v>157.66</v>
    <v>29.2836</v>
    <v>159.09</v>
    <v>160.46</v>
    <v>162.06</v>
    <v>216931900</v>
    <v>TRGP</v>
    <v>TARGA RESOURCES CORP. (XNYS:TRGP)</v>
    <v>1475544</v>
    <v>2180128</v>
    <v>2005</v>
  </rv>
  <rv s="4">
    <v>1106</v>
  </rv>
  <rv s="0">
    <v>https://www.bing.com/financeapi/forcetrigger?t=a1ultc&amp;q=XNYS%3aHES&amp;form=skydnc</v>
    <v>Learn more on Bing</v>
  </rv>
  <rv s="5">
    <v>en-CA</v>
    <v>a1ultc</v>
    <v>268435456</v>
    <v>1</v>
    <v>Powered by Refinitiv</v>
    <v>7</v>
    <v>HESS CORPORATION (XNYS:HES)</v>
    <v>8</v>
    <v>9</v>
    <v>Finance</v>
    <v>5</v>
    <v>161.68960000000001</v>
    <v>123.79</v>
    <v>0.63519999999999999</v>
    <v>1.34</v>
    <v>1.0660000000000001E-3</v>
    <v>1.0305999999999999E-2</v>
    <v>0.14000000000000001</v>
    <v>USD</v>
    <v>Hess Corporation is a global exploration and production (E&amp;P)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 operates through two segments: E&amp;P and Midstream. The E&amp;P segment explores for, develops, produces, purchases and sells crude oil, NGL and natural gas. The Midstream segment provides fee-based services, including gathering, compressing and processing natural gas and fractionating NGL; gathering, terminaling, loading and transporting crude oil and NGL; storing and terminaling propane, and water handling services primarily in the Bakken shale play of North Dakota. The Company conducts exploration activities primarily offshore Guyana, in the U.S. Gulf of Mexico, and offshore Suriname.</v>
    <v>1797</v>
    <v>New York Stock Exchange</v>
    <v>XNYS</v>
    <v>XNYS</v>
    <v>1185 AVENUE OF THE AMERICAS, NEW YORK, NY, 10036 US</v>
    <v>131.4</v>
    <v>Oil &amp; Gas</v>
    <v>Stock</v>
    <v>45800.97102710625</v>
    <v>1108</v>
    <v>128.55000000000001</v>
    <v>40625840000</v>
    <v>HESS CORPORATION</v>
    <v>HESS CORPORATION</v>
    <v>128.55000000000001</v>
    <v>18.007300000000001</v>
    <v>130.02000000000001</v>
    <v>131.36000000000001</v>
    <v>131.5</v>
    <v>309271000</v>
    <v>HES</v>
    <v>HESS CORPORATION (XNYS:HES)</v>
    <v>1793670</v>
    <v>1534813</v>
    <v>1920</v>
  </rv>
  <rv s="4">
    <v>1109</v>
  </rv>
  <rv s="0">
    <v>https://www.bing.com/financeapi/forcetrigger?t=a1ythw&amp;q=XNYS%3aNUE&amp;form=skydnc</v>
    <v>Learn more on Bing</v>
  </rv>
  <rv s="5">
    <v>en-CA</v>
    <v>a1ythw</v>
    <v>268435456</v>
    <v>1</v>
    <v>Powered by Refinitiv</v>
    <v>7</v>
    <v>NUCOR CORPORATION (XNYS:NUE)</v>
    <v>8</v>
    <v>9</v>
    <v>Finance</v>
    <v>5</v>
    <v>173</v>
    <v>97.59</v>
    <v>1.7218</v>
    <v>-2.2000000000000002</v>
    <v>1.8429999999999998E-4</v>
    <v>-1.9875E-2</v>
    <v>0.02</v>
    <v>USD</v>
    <v>Nucor Corporation is a manufacturer of steel and steel products, with operating facilities in the United States, Canada and Mexico. The Company also produces and procures ferrous and non-ferrous materials primarily for use in its steel manufacturing business. Its segments include steel mills, steel products and raw materials. Its products include carbon and alloy steel in bars, beams, sheet and plate; hollow structural section tubing; electrical conduit; steel racking; steel piling; steel joists and joist girders; steel deck; fabricated concrete reinforcing steel; cold finished steel; precision castings; steel fasteners; metal building systems; insulated metal panels; overhead doors; steel grating; wire and wire mesh; and utility structures. The Company, through The David J. Joseph Company and its affiliates, also brokers ferrous and nonferrous metals, pig iron and hot briquetted iron / direct reduced iron; supplies ferro-alloys; and processes ferrous and nonferrous scrap.</v>
    <v>32700</v>
    <v>New York Stock Exchange</v>
    <v>XNYS</v>
    <v>XNYS</v>
    <v>1915 REXFORD RD, CHARLOTTE, NC, 28211 US</v>
    <v>110.69</v>
    <v>Metals &amp; Mining</v>
    <v>Stock</v>
    <v>45800.995876457811</v>
    <v>1111</v>
    <v>106.79</v>
    <v>25034120000</v>
    <v>NUCOR CORPORATION</v>
    <v>NUCOR CORPORATION</v>
    <v>108.79</v>
    <v>19.715399999999999</v>
    <v>110.69</v>
    <v>108.49</v>
    <v>108.51</v>
    <v>230750500</v>
    <v>NUE</v>
    <v>NUCOR CORPORATION (XNYS:NUE)</v>
    <v>3908394</v>
    <v>1990046</v>
    <v>1958</v>
  </rv>
  <rv s="4">
    <v>1112</v>
  </rv>
  <rv s="0">
    <v>https://www.bing.com/financeapi/forcetrigger?t=a1zez2&amp;q=XNYS%3aOXY&amp;form=skydnc</v>
    <v>Learn more on Bing</v>
  </rv>
  <rv s="5">
    <v>en-CA</v>
    <v>a1zez2</v>
    <v>268435456</v>
    <v>1</v>
    <v>Powered by Refinitiv</v>
    <v>7</v>
    <v>OCCIDENTAL PETROLEUM CORPORATION (XNYS:OXY)</v>
    <v>8</v>
    <v>9</v>
    <v>Finance</v>
    <v>5</v>
    <v>64.754999999999995</v>
    <v>34.784999999999997</v>
    <v>0.88460000000000005</v>
    <v>0.21</v>
    <v>2.4219999999999998E-4</v>
    <v>5.1120000000000002E-3</v>
    <v>0.01</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41.414999999999999</v>
    <v>Oil &amp; Gas</v>
    <v>Stock</v>
    <v>45800.999890578125</v>
    <v>1114</v>
    <v>40.409999999999997</v>
    <v>40634840000</v>
    <v>OCCIDENTAL PETROLEUM CORPORATION</v>
    <v>OCCIDENTAL PETROLEUM CORPORATION</v>
    <v>40.58</v>
    <v>16.654699999999998</v>
    <v>41.08</v>
    <v>41.29</v>
    <v>41.3</v>
    <v>984132700</v>
    <v>OXY</v>
    <v>OCCIDENTAL PETROLEUM CORPORATION (XNYS:OXY)</v>
    <v>6511722</v>
    <v>10476138</v>
    <v>1986</v>
  </rv>
  <rv s="4">
    <v>1115</v>
  </rv>
  <rv s="0">
    <v>https://www.bing.com/financeapi/forcetrigger?t=a1s57w&amp;q=XNYS%3aEQT&amp;form=skydnc</v>
    <v>Learn more on Bing</v>
  </rv>
  <rv s="5">
    <v>en-CA</v>
    <v>a1s57w</v>
    <v>268435456</v>
    <v>1</v>
    <v>Powered by Refinitiv</v>
    <v>7</v>
    <v>EQT CORPORATION (XNYS:EQT)</v>
    <v>8</v>
    <v>9</v>
    <v>Finance</v>
    <v>5</v>
    <v>57.37</v>
    <v>30.02</v>
    <v>0.64510000000000001</v>
    <v>-0.08</v>
    <v>1.9780000000000002E-3</v>
    <v>-1.4369999999999999E-3</v>
    <v>0.11</v>
    <v>USD</v>
    <v>EQT Corporation is a premier, vertically integrated American natural gas company with production and midstream operations focused on the Appalachian Basin. It has operations in Pennsylvania, West Virginia and Ohio. It owns or leases approximately 610,000 net acres in Pennsylvania. Most of the acreage is located in the southwestern region of the state, with the majority located in Greene and Washington Counties. It is developing the Marcellus Shale and Upper Devonian Shale in this area. It also owns or leases 405,000 net acres in West Virginia. Most of the acreage is located in the northwestern region of the state, with the majority located in Doddridge, Marion, Tyler and Wetzel Counties. It owns or leases 65,000 net acres in eastern Ohio and is developing the Utica Shale in Belmont County. It operates Utica wells throughout its Ohio acreage. The Marcellus Shale lies nearly a mile or more beneath the surface throughout much of Ohio, Pennsylvania, New York and West Virginia.</v>
    <v>1461</v>
    <v>New York Stock Exchange</v>
    <v>XNYS</v>
    <v>XNYS</v>
    <v>SUITE 1700, 625 LIBERTY AVENUE, PITTSBURGH, PA, 15222 US</v>
    <v>56.02</v>
    <v>Oil &amp; Gas</v>
    <v>Stock</v>
    <v>45800.998177603906</v>
    <v>1117</v>
    <v>55.15</v>
    <v>33289590000</v>
    <v>EQT CORPORATION</v>
    <v>EQT CORPORATION</v>
    <v>55.25</v>
    <v>98.846299999999999</v>
    <v>55.69</v>
    <v>55.61</v>
    <v>55.72</v>
    <v>598626000</v>
    <v>EQT</v>
    <v>EQT CORPORATION (XNYS:EQT)</v>
    <v>6813696</v>
    <v>8131204</v>
    <v>2008</v>
  </rv>
  <rv s="4">
    <v>1118</v>
  </rv>
  <rv s="0">
    <v>https://www.bing.com/financeapi/forcetrigger?t=a1o1jc&amp;q=XNYS%3aAWK&amp;form=skydnc</v>
    <v>Learn more on Bing</v>
  </rv>
  <rv s="5">
    <v>en-CA</v>
    <v>a1o1jc</v>
    <v>268435456</v>
    <v>1</v>
    <v>Powered by Refinitiv</v>
    <v>7</v>
    <v>AMERICAN WATER WORKS COMPANY, INC. (XNYS:AWK)</v>
    <v>8</v>
    <v>9</v>
    <v>Finance</v>
    <v>5</v>
    <v>155.5</v>
    <v>118.74</v>
    <v>0.71220000000000006</v>
    <v>1.76</v>
    <v>9.6790000000000001E-3</v>
    <v>1.2407E-2</v>
    <v>1.39</v>
    <v>USD</v>
    <v>American Water Works Company, Inc. is a water and wastewater utility company. The Company's primary business involves the ownership of utilities that provide water and wastewater services to residential, commercial, industrial, public authority, fire service and sale for resale customers. It also operates other businesses that provide water and wastewater services to the United States government on military installations, as well as municipalities. The Company operates its business through the Regulated Businesses segment. The Regulated Businesses segment includes subsidiaries that provide water and wastewater services to customers in approximately 14 states. The Company's utilities operate in states such as Georgia, Hawaii, Indiana, Iowa, Kentucky, Maryland, Tennessee, Virginia and West Virginia. The Company also serves commercial customers, fire service customers, industrial customers, public authorities, other utilities and community water and wastewater systems.</v>
    <v>6700</v>
    <v>New York Stock Exchange</v>
    <v>XNYS</v>
    <v>XNYS</v>
    <v>1 Water Street, CAMDEN, NJ, 08102-1658 US</v>
    <v>143.905</v>
    <v>Water Utilities</v>
    <v>Stock</v>
    <v>45800.958333356248</v>
    <v>1120</v>
    <v>141.4</v>
    <v>28005620000</v>
    <v>AMERICAN WATER WORKS COMPANY, INC.</v>
    <v>AMERICAN WATER WORKS COMPANY, INC.</v>
    <v>143.4</v>
    <v>25.827100000000002</v>
    <v>141.85</v>
    <v>143.61000000000001</v>
    <v>145</v>
    <v>195011600</v>
    <v>AWK</v>
    <v>AMERICAN WATER WORKS COMPANY, INC. (XNYS:AWK)</v>
    <v>740331</v>
    <v>1357608</v>
    <v>1936</v>
  </rv>
  <rv s="4">
    <v>1121</v>
  </rv>
  <rv s="0">
    <v>https://www.bing.com/financeapi/forcetrigger?t=a1skmw&amp;q=XNAS%3aFANG&amp;form=skydnc</v>
    <v>Learn more on Bing</v>
  </rv>
  <rv s="5">
    <v>en-CA</v>
    <v>a1skmw</v>
    <v>268435456</v>
    <v>1</v>
    <v>Powered by Refinitiv</v>
    <v>7</v>
    <v>DIAMONDBACK ENERGY, INC. (XNAS:FANG)</v>
    <v>8</v>
    <v>9</v>
    <v>Finance</v>
    <v>5</v>
    <v>214.5</v>
    <v>114</v>
    <v>1.04</v>
    <v>-0.43</v>
    <v>-2.2819999999999997E-3</v>
    <v>-3.1549999999999998E-3</v>
    <v>-0.31</v>
    <v>USD</v>
    <v>Diamondback Energy, Inc., together with its subsidiaries, is an independent oil and natural gas company focused on the acquisition, development, exploration and exploitation of unconventional, onshore oil and natural gas reserves primarily in the Permian Basin in West Texas. The Company's activities are primarily directed at the horizontal development of the Wolfcamp and Spraberry formations in the Midland Basin and the Wolfcamp and Bone Spring formations in the Delaware Basin, both of which are part of the larger Permian Basin in West Texas and New Mexico. Additionally, its subsidiary, Viper Energy, Inc., owns oil and natural gas properties primarily in the Permian Basin. Its total acreage position in the Permian Basin consists of approximately 7,77,181 net acres in the Midland Basin and approximately 123,218 net acres in the Delaware Basin. The Company's subsidiaries include Rattler Midstream GP LLC, Rattler Midstream LP, and QEP Resources, Inc.</v>
    <v>1983</v>
    <v>Nasdaq Stock Market</v>
    <v>XNAS</v>
    <v>XNAS</v>
    <v>SUITE 1210, 500 WEST TEXAS, MIDLAND, TX, 79701 US</v>
    <v>136.62</v>
    <v>Oil &amp; Gas</v>
    <v>Stock</v>
    <v>45800.993167279688</v>
    <v>1123</v>
    <v>133.75</v>
    <v>39693940000</v>
    <v>DIAMONDBACK ENERGY, INC.</v>
    <v>DIAMONDBACK ENERGY, INC.</v>
    <v>134.31</v>
    <v>8.3416999999999994</v>
    <v>136.29</v>
    <v>135.86000000000001</v>
    <v>135.55000000000001</v>
    <v>292168000</v>
    <v>FANG</v>
    <v>DIAMONDBACK ENERGY, INC. (XNAS:FANG)</v>
    <v>1766269</v>
    <v>2153848</v>
    <v>2011</v>
  </rv>
  <rv s="4">
    <v>1124</v>
  </rv>
  <rv s="0">
    <v>https://www.bing.com/financeapi/forcetrigger?t=a24fh7&amp;q=XNYS%3aTPL&amp;form=skydnc</v>
    <v>Learn more on Bing</v>
  </rv>
  <rv s="5">
    <v>en-CA</v>
    <v>a24fh7</v>
    <v>268435456</v>
    <v>1</v>
    <v>Powered by Refinitiv</v>
    <v>7</v>
    <v>TEXAS PACIFIC LAND CORPORATION (XNYS:TPL)</v>
    <v>8</v>
    <v>9</v>
    <v>Finance</v>
    <v>5</v>
    <v>1769.14</v>
    <v>570.68060000000003</v>
    <v>1.1934</v>
    <v>-6.49</v>
    <v>2.036E-3</v>
    <v>-5.0749999999999997E-3</v>
    <v>2.59</v>
    <v>USD</v>
    <v>Texas Pacific Land Corporation is a landowner in the state of Texas with approximately 873,000 surface acres of land, principally concentrated in the Permian Basin. It operates in two segments: Land and Resource Management and Water Services and Operations. Its Land and Resource Management segment encompasses the business of managing its approximately 873,000 surface acres of land and approximately 207,000 NRA of oil and gas royalty interests, principally concentrated in the Permian Basin. This segment consists of royalties from oil and gas, revenues from easements, commercial leases and renewables, and land and material sales. Its Water Services and Operations segment is engaged in the business of providing full-service water offerings to operators in the Permian Basin through its wholly owned subsidiary, Texas Pacific Water Resources LLC (TPWR). These full-service water offerings include water sourcing, produced-water treatment, infrastructure development, and disposal solutions.</v>
    <v>111</v>
    <v>New York Stock Exchange</v>
    <v>XNYS</v>
    <v>XNYS</v>
    <v>1700 Pacific Avenue, Suite 2900, DALLAS, TX, 75201 US</v>
    <v>1287.46</v>
    <v>Oil &amp; Gas</v>
    <v>Stock</v>
    <v>45800.99775387656</v>
    <v>1126</v>
    <v>1256.2</v>
    <v>29249300000</v>
    <v>TEXAS PACIFIC LAND CORPORATION</v>
    <v>TEXAS PACIFIC LAND CORPORATION</v>
    <v>1256.2</v>
    <v>63.960099999999997</v>
    <v>1278.9000000000001</v>
    <v>1272.4100000000001</v>
    <v>1275</v>
    <v>22987330</v>
    <v>TPL</v>
    <v>TEXAS PACIFIC LAND CORPORATION (XNYS:TPL)</v>
    <v>84621</v>
    <v>103872</v>
    <v>2020</v>
  </rv>
  <rv s="4">
    <v>1127</v>
  </rv>
  <rv s="0">
    <v>https://www.bing.com/financeapi/forcetrigger?t=a1nwgh&amp;q=XNYS%3aATO&amp;form=skydnc</v>
    <v>Learn more on Bing</v>
  </rv>
  <rv s="5">
    <v>en-CA</v>
    <v>a1nwgh</v>
    <v>268435456</v>
    <v>1</v>
    <v>Powered by Refinitiv</v>
    <v>7</v>
    <v>ATMOS ENERGY CORPORATION (XNYS:ATO)</v>
    <v>8</v>
    <v>9</v>
    <v>Finance</v>
    <v>5</v>
    <v>167.45</v>
    <v>110.97</v>
    <v>0.72009999999999996</v>
    <v>1.99</v>
    <v>2.6069999999999999E-3</v>
    <v>1.2815E-2</v>
    <v>0.41</v>
    <v>USD</v>
    <v>Atmos Energy Corporation is a natural gas-only distributor. The Company delivers natural gas to over 3.3 million distribution customers in over 1,400 communities across eight states located primarily in the South. It manages proprietary pipeline and storage assets, including intrastate natural gas pipeline systems in Texas. Its segments include distribution and pipeline and storage. The distribution segment comprises its regulated natural gas distribution and related sales operations in eight states. The pipeline and storage segment are consists of regulated pipeline and storage operations of its Atmos Pipeline-Texas (APT) division and its natural gas transmission operations in Louisiana. APT is an intrastate pipeline operation in Texas with a heavy concentration in the established natural gas-producing areas of central, northern, and eastern Texas, extending into or near the major producing areas of the Barnett Shale, the Texas Gulf Coast, and the Permian Basin of West Texas.</v>
    <v>5260</v>
    <v>New York Stock Exchange</v>
    <v>XNYS</v>
    <v>XNYS</v>
    <v>1800 Three Lincoln Ctr, 5430 Lbj Freeway, DALLAS, TX, 75240 US</v>
    <v>157.52000000000001</v>
    <v>Natural Gas Utilities</v>
    <v>Stock</v>
    <v>45800.97635931641</v>
    <v>1129</v>
    <v>154.80000000000001</v>
    <v>24981860000</v>
    <v>ATMOS ENERGY CORPORATION</v>
    <v>ATMOS ENERGY CORPORATION</v>
    <v>156.46</v>
    <v>21.5975</v>
    <v>155.29</v>
    <v>157.28</v>
    <v>157.69</v>
    <v>158836900</v>
    <v>ATO</v>
    <v>ATMOS ENERGY CORPORATION (XNYS:ATO)</v>
    <v>984685</v>
    <v>1247991</v>
    <v>1981</v>
  </rv>
  <rv s="4">
    <v>1130</v>
  </rv>
  <rv s="0">
    <v>https://www.bing.com/financeapi/forcetrigger?t=a1rew7&amp;q=XNYS%3aDVN&amp;form=skydnc</v>
    <v>Learn more on Bing</v>
  </rv>
  <rv s="5">
    <v>en-CA</v>
    <v>a1rew7</v>
    <v>268435456</v>
    <v>1</v>
    <v>Powered by Refinitiv</v>
    <v>7</v>
    <v>DEVON ENERGY CORPORATION (XNYS:DVN)</v>
    <v>8</v>
    <v>9</v>
    <v>Finance</v>
    <v>5</v>
    <v>49.344999999999999</v>
    <v>25.89</v>
    <v>1.0992</v>
    <v>0.02</v>
    <v>4.4929999999999996E-3</v>
    <v>6.4229999999999995E-4</v>
    <v>0.14000000000000001</v>
    <v>USD</v>
    <v>Devon Energy Corporation is an oil and gas producer in the United States with a diversified multi-basin portfolio headlined by an acreage position in the Delaware Basin. The Company is primarily engaged in the exploration, development and production of oil, natural gas and natural gas liquids (NGLs). It owns a portfolio of assets located in the Delaware Basin, Rockies, Eagle Ford and Anadarko Basin. The Delaware Basin operates in southeast New Mexico and across the state line into west Texas. It offers exploration and development opportunities from many geologic reservoirs and play types, including the oil-rich Wolfcamp, Bone Spring, Avalon and Delaware formations. Its Rockies development consists of its Williston Basin and Powder River Basin assets. The Eagle Ford operations are located in Texas' DeWitt and Karnes counties. The Anadarko Basin development is located in western Oklahoma. It has a joint venture with Dow to develop a portion of its Anadarko Basin acreage.</v>
    <v>2300</v>
    <v>New York Stock Exchange</v>
    <v>XNYS</v>
    <v>XNYS</v>
    <v>333 W Sheridan Ave, OKLAHOMA CITY, OK, 73102 US</v>
    <v>31.234999999999999</v>
    <v>Oil &amp; Gas</v>
    <v>Stock</v>
    <v>45800.993722835155</v>
    <v>1132</v>
    <v>30.61</v>
    <v>20007840000</v>
    <v>DEVON ENERGY CORPORATION</v>
    <v>DEVON ENERGY CORPORATION</v>
    <v>30.66</v>
    <v>7.0880999999999998</v>
    <v>31.14</v>
    <v>31.16</v>
    <v>31.3</v>
    <v>642100000</v>
    <v>DVN</v>
    <v>DEVON ENERGY CORPORATION (XNYS:DVN)</v>
    <v>7037757</v>
    <v>7859049</v>
    <v>1999</v>
  </rv>
  <rv s="4">
    <v>1133</v>
  </rv>
  <rv s="0">
    <v>https://www.bing.com/financeapi/forcetrigger?t=a1ufm7&amp;q=XNYS%3aHAL&amp;form=skydnc</v>
    <v>Learn more on Bing</v>
  </rv>
  <rv s="5">
    <v>en-CA</v>
    <v>a1ufm7</v>
    <v>268435456</v>
    <v>1</v>
    <v>Powered by Refinitiv</v>
    <v>7</v>
    <v>HALLIBURTON COMPANY (XNYS:HAL)</v>
    <v>8</v>
    <v>9</v>
    <v>Finance</v>
    <v>5</v>
    <v>37.08</v>
    <v>18.72</v>
    <v>1.1674</v>
    <v>-0.05</v>
    <v>0</v>
    <v>-2.5049999999999998E-3</v>
    <v>0</v>
    <v>USD</v>
    <v>Halliburton Company is a provider of products and services to the energy industry. The Company operates through two segments: Completion and Production and the Drilling and Evaluation. The Completion and Production segment delivers cementing, stimulation, specialty chemicals, intervention, pressure control, artificial lift, and completion products and services. The segment consists of the product service lines, such as artificial lift, cementing, completion tools, multi-chem, pipeline and process services, production enhancement and production solutions. The Drilling and Evaluation segment provides field and reservoir modeling, drilling, fluids, evaluation and precise wellbore placement solutions that enable customers to model, measure, drill, and optimize their well construction activities. Its product service lines include Baroid, drill bits and services, Halliburton project management, landmark software and services, Sperry drilling, testing and subsea and wireline and perforating.</v>
    <v>48000</v>
    <v>New York Stock Exchange</v>
    <v>XNYS</v>
    <v>XNYS</v>
    <v>3000 North Sam Houston Parkway East, HOUSTON, TX, 77032 US</v>
    <v>19.96</v>
    <v>Oil &amp; Gas Related Equipment and Services</v>
    <v>Stock</v>
    <v>45800.996732916406</v>
    <v>1135</v>
    <v>19.420000000000002</v>
    <v>17116930000</v>
    <v>HALLIBURTON COMPANY</v>
    <v>HALLIBURTON COMPANY</v>
    <v>19.47</v>
    <v>8.3598999999999997</v>
    <v>19.96</v>
    <v>19.91</v>
    <v>19.91</v>
    <v>859715000</v>
    <v>HAL</v>
    <v>HALLIBURTON COMPANY (XNYS:HAL)</v>
    <v>8119870</v>
    <v>14751332</v>
    <v>1996</v>
  </rv>
  <rv s="4">
    <v>1136</v>
  </rv>
  <rv s="0">
    <v>https://www.bing.com/financeapi/forcetrigger?t=a1q44c&amp;q=XNYS%3aCTRA&amp;form=skydnc</v>
    <v>Learn more on Bing</v>
  </rv>
  <rv s="5">
    <v>en-CA</v>
    <v>a1q44c</v>
    <v>268435456</v>
    <v>1</v>
    <v>Powered by Refinitiv</v>
    <v>7</v>
    <v>Coterra Energy Inc. (XNYS:CTRA)</v>
    <v>8</v>
    <v>9</v>
    <v>Finance</v>
    <v>5</v>
    <v>29.95</v>
    <v>22.3</v>
    <v>0.33760000000000001</v>
    <v>0.11</v>
    <v>2.8549999999999999E-3</v>
    <v>4.5059999999999996E-3</v>
    <v>7.0000000000000007E-2</v>
    <v>USD</v>
    <v>Coterra Energy Inc. is an exploration and production company based in Houston, Texas with focused operations in the Permian Basin, Marcellus Shale and Anadarko Basin. The Company is engaged in the development, exploration and production of oil, natural gas and natural gas liquids exclusively within the continental United States. Its Permian Basin operation consists of approximately 345,000 net acres. Its development activities are primarily focused on the Wolfcamp Shale and the Bone Spring formation in Culberson and Reeves Counties in Texas and Lea and Eddy Counties in New Mexico. Its Marcellus Shale operation includes properties that are principally located in Susquehanna County, Pennsylvania, where it holds approximately 186,000 net acres in the dry gas window of the Marcellus Shale. Its Anadarko Basin operation holds around 182,000 net acres that are located in Oklahoma. Its development activities are primarily focused on both the Woodford Shale and the Meramec formations.</v>
    <v>915</v>
    <v>New York Stock Exchange</v>
    <v>XNYS</v>
    <v>XNYS</v>
    <v>840 Gessner Rd Ste 1400, HOUSTON, TX, 77024 US</v>
    <v>24.59</v>
    <v>Oil &amp; Gas</v>
    <v>Stock</v>
    <v>45800.985669941409</v>
    <v>1138</v>
    <v>24.16</v>
    <v>18715150000</v>
    <v>Coterra Energy Inc.</v>
    <v>Coterra Energy Inc.</v>
    <v>24.25</v>
    <v>14.262700000000001</v>
    <v>24.41</v>
    <v>24.52</v>
    <v>24.59</v>
    <v>763260700</v>
    <v>CTRA</v>
    <v>Coterra Energy Inc. (XNYS:CTRA)</v>
    <v>4434629</v>
    <v>7684545</v>
    <v>1989</v>
  </rv>
  <rv s="4">
    <v>1139</v>
  </rv>
  <rv s="0">
    <v>https://www.bing.com/financeapi/forcetrigger?t=a23p6h&amp;q=XNAS%3aSTLD&amp;form=skydnc</v>
    <v>Learn more on Bing</v>
  </rv>
  <rv s="5">
    <v>en-CA</v>
    <v>a23p6h</v>
    <v>268435456</v>
    <v>1</v>
    <v>Powered by Refinitiv</v>
    <v>7</v>
    <v>STEEL DYNAMICS, INC. (XNAS:STLD)</v>
    <v>8</v>
    <v>9</v>
    <v>Finance</v>
    <v>5</v>
    <v>155.56</v>
    <v>103.17</v>
    <v>1.4249000000000001</v>
    <v>-4.57</v>
    <v>-2.7929999999999999E-3</v>
    <v>-3.5184E-2</v>
    <v>-0.35</v>
    <v>USD</v>
    <v>Steel Dynamics, Inc. is a steel producer and metal recycler in the North America. Its segments include Steel Operations, Metals Recycling Operations, Steel Fabrication Operations and Aluminum Operations. Steel Operations segment consists primarily of steelmaking and various coating operations. Metals Recycling operations segment include both ferrous and nonferrous scrap metal processing, transportation, marketing, brokerage and scrap management services, strategically located primarily in close proximity to its steel mills and other end-user scrap consumers, across the United States, and Central and Northern Mexico. Steel fabrication operations segment include seven new millennium building systems plants that primarily serve the nonresidential construction industry across the United States. The Aluminum Operations includes the recycled aluminum flat rolled products mill being constructed in Columbus, Mississippi, and two satellite recycled aluminum slab centers in Arizona and Mexico.</v>
    <v>13000</v>
    <v>Nasdaq Stock Market</v>
    <v>XNAS</v>
    <v>XNAS</v>
    <v>7575 W JEFFERSON BLVD, FORT WAYNE, IN, 46804 US</v>
    <v>129.12</v>
    <v>Metals &amp; Mining</v>
    <v>Stock</v>
    <v>45800.992557650003</v>
    <v>1141</v>
    <v>124.45</v>
    <v>18604240000</v>
    <v>STEEL DYNAMICS, INC.</v>
    <v>STEEL DYNAMICS, INC.</v>
    <v>127.69</v>
    <v>17.168800000000001</v>
    <v>129.88999999999999</v>
    <v>125.32</v>
    <v>124.97</v>
    <v>148453900</v>
    <v>STLD</v>
    <v>STEEL DYNAMICS, INC. (XNAS:STLD)</v>
    <v>3180825</v>
    <v>1230168</v>
    <v>1994</v>
  </rv>
  <rv s="4">
    <v>1142</v>
  </rv>
  <rv s="0">
    <v>https://www.bing.com/financeapi/forcetrigger?t=aa8mtc&amp;q=XASX%3aPNR&amp;form=skydnc</v>
    <v>Learn more on Bing</v>
  </rv>
  <rv s="16">
    <v>en-CA</v>
    <v>aa8mtc</v>
    <v>268435456</v>
    <v>1</v>
    <v>Powered by Refinitiv</v>
    <v>39</v>
    <v>PANTORO GOLD LIMITED (XASX:PNR)</v>
    <v>8</v>
    <v>40</v>
    <v>Finance</v>
    <v>15</v>
    <v>3.59</v>
    <v>1.3260000000000001</v>
    <v>1.1983999999999999</v>
    <v>-7.0000000000000007E-2</v>
    <v>-1.9886000000000001E-2</v>
    <v>AUD</v>
    <v>Pantoro Gold Limited, formerly Pantoro Limited, is an Australia-based gold producer. The Company is focused on its 100%-owned Norseman Gold Project in Australia. The Norseman Gold Project is located in the Eastern Goldfields of Western Australia, at the southern end of the highly productive Norseman-Wiluna greenstone belt. The project lies approximately 725 kilometers (km) east of Perth, 200 km south of Kalgoorlie, and 200 km north of Esperance. The project tenure of approximately 1,000 square kilometers (km2) covers nearly all the historic Norseman Gold province. The project has measured, indicated and inferred mineral resources of 4.87 million ounces. The Norseman Gold Project lies immediately adjacent to the Norseman township and is infrastructure-rich with office and workshop complexes, camp accommodation, site laboratory, 10MW power station, bore fields and a road network servicing all existing mineral resource areas already in place.</v>
    <v>2</v>
    <v>Australian Securities Exchange</v>
    <v>XASX</v>
    <v>XASX</v>
    <v>Level 2, 46 Ventnor Ave, PERTH, WESTERN AUSTRALIA, 6005 AU</v>
    <v>3.5449999999999999</v>
    <v>Metals &amp; Mining</v>
    <v>Stock</v>
    <v>45804.109282407408</v>
    <v>1144</v>
    <v>3.41</v>
    <v>1335150000</v>
    <v>PANTORO GOLD LIMITED</v>
    <v>PANTORO GOLD LIMITED</v>
    <v>3.52</v>
    <v>3.52</v>
    <v>3.45</v>
    <v>389256600</v>
    <v>PNR</v>
    <v>PANTORO GOLD LIMITED (XASX:PNR)</v>
    <v>546882</v>
    <v>1975550</v>
    <v>1986</v>
  </rv>
  <rv s="4">
    <v>1145</v>
  </rv>
  <rv s="0">
    <v>https://www.bing.com/financeapi/forcetrigger?t=a1tdvh&amp;q=XNAS%3aFSLR&amp;form=skydnc</v>
    <v>Learn more on Bing</v>
  </rv>
  <rv s="5">
    <v>en-CA</v>
    <v>a1tdvh</v>
    <v>268435456</v>
    <v>1</v>
    <v>Powered by Refinitiv</v>
    <v>7</v>
    <v>FIRST SOLAR, INC. (XNAS:FSLR)</v>
    <v>8</v>
    <v>9</v>
    <v>Finance</v>
    <v>5</v>
    <v>306.76990000000001</v>
    <v>116.5625</v>
    <v>1.5125999999999999</v>
    <v>2.0299999999999998</v>
    <v>-1.894E-4</v>
    <v>1.2984000000000001E-2</v>
    <v>-0.03</v>
    <v>USD</v>
    <v>First Solar, Inc. is a photovoltaic (PV) solar technology and manufacturing company. It is focused on enabling power generation needs with its advanced, thin film PV technology. The Company's primary segment is its modules business, which involves the design, manufacture, and sale of CdTe solar modules, which convert sunlight into electricity. Third-party customers of the segment include system developers, independent power producers, utilities, commercial and industrial companies, and other system owners and operators. The Company's products include the Series 7 Module and Series 6 Plus module. Its Series 6 Plus module is a glass laminate approximately 4ft x 6ft in size that encapsulates thin film PV semiconductor materials. Its Series 7 module has a larger form factor of approximately 4ft x 7ft in size. The Series 6 Plus and Series 7 modules had an average power output of 459 watts and 531 watts, respectively.</v>
    <v>8100</v>
    <v>Nasdaq Stock Market</v>
    <v>XNAS</v>
    <v>XNAS</v>
    <v>350 West Washington Street, Suite 600, TEMPE, AZ, 85288 US</v>
    <v>161.62</v>
    <v>Renewable Energy</v>
    <v>Stock</v>
    <v>45800.999846307815</v>
    <v>1147</v>
    <v>152.59</v>
    <v>16985380000</v>
    <v>FIRST SOLAR, INC.</v>
    <v>FIRST SOLAR, INC.</v>
    <v>154.01</v>
    <v>13.2903</v>
    <v>156.35</v>
    <v>158.38</v>
    <v>158.35</v>
    <v>107244500</v>
    <v>FSLR</v>
    <v>FIRST SOLAR, INC. (XNAS:FSLR)</v>
    <v>3562490</v>
    <v>6077103</v>
    <v>2003</v>
  </rv>
  <rv s="4">
    <v>1148</v>
  </rv>
  <rv s="0">
    <v>https://www.bing.com/financeapi/forcetrigger?t=a1rzh7&amp;q=XNAS%3aENPH&amp;form=skydnc</v>
    <v>Learn more on Bing</v>
  </rv>
  <rv s="5">
    <v>en-CA</v>
    <v>a1rzh7</v>
    <v>268435456</v>
    <v>1</v>
    <v>Powered by Refinitiv</v>
    <v>7</v>
    <v>ENPHASE ENERGY, INC. (XNAS:ENPH)</v>
    <v>8</v>
    <v>9</v>
    <v>Finance</v>
    <v>5</v>
    <v>141.63</v>
    <v>37.590000000000003</v>
    <v>1.7146999999999999</v>
    <v>1.635</v>
    <v>2.5230000000000001E-4</v>
    <v>4.3021000000000004E-2</v>
    <v>0.01</v>
    <v>USD</v>
    <v>Enphase Energy, Inc. is a global energy technology company. The Company is a supplier of microinverter-based solar and battery systems that enable people to harness the sun to make, use, save, and sell their own power and control it all with a smart mobile application. It designs, develops, manufactures and sells home energy solutions that manage energy generation, energy storage, and control and communications on one intelligent platform. The Enphase Energy System brings a technology, networked approach to solar generation plus energy storage, by leveraging its design expertise across power electronics, semiconductors and cloud-based software technologies. The Enphase Energy System, powered by IQ Microinverters, IQ Batteries and other products and services, is an integrated solar, storage and energy management offering that enables self-consumption. The Company also offers a predictive software platform dedicated to simplifying the cleantech service landscape.</v>
    <v>2781</v>
    <v>Nasdaq Stock Market</v>
    <v>XNAS</v>
    <v>XNAS</v>
    <v>47281 Bayside Parkway, FREMONT, CA, 94538 US</v>
    <v>39.979999999999997</v>
    <v>Renewable Energy</v>
    <v>Stock</v>
    <v>45800.999849039064</v>
    <v>1150</v>
    <v>37.6</v>
    <v>5201046000</v>
    <v>ENPHASE ENERGY, INC.</v>
    <v>ENPHASE ENERGY, INC.</v>
    <v>37.770000000000003</v>
    <v>36.693600000000004</v>
    <v>38.005000000000003</v>
    <v>39.64</v>
    <v>39.65</v>
    <v>131207000</v>
    <v>ENPH</v>
    <v>ENPHASE ENERGY, INC. (XNAS:ENPH)</v>
    <v>10168324</v>
    <v>8181739</v>
    <v>2006</v>
  </rv>
  <rv s="4">
    <v>1151</v>
  </rv>
  <rv s="0">
    <v>https://www.bing.com/financeapi/forcetrigger?t=a1nkur&amp;q=XNAS%3aAPA&amp;form=skydnc</v>
    <v>Learn more on Bing</v>
  </rv>
  <rv s="5">
    <v>en-CA</v>
    <v>a1nkur</v>
    <v>268435456</v>
    <v>1</v>
    <v>Powered by Refinitiv</v>
    <v>7</v>
    <v>APA CORPORATION (XNAS:APA)</v>
    <v>8</v>
    <v>9</v>
    <v>Finance</v>
    <v>5</v>
    <v>33.409999999999997</v>
    <v>13.584</v>
    <v>1.2582</v>
    <v>0.11</v>
    <v>-5.9350000000000002E-3</v>
    <v>6.5710000000000005E-3</v>
    <v>-0.1</v>
    <v>USD</v>
    <v>APA Corporation is an independent energy company. The Company owns subsidiaries that explore for and produce oil and natural gas in the United States, Egypt, and the United Kingdom, and that explore for oil and natural gas offshore Suriname. The Company’s upstream business has oil and gas operations in three geographic areas: the United States, Egypt and offshore the United Kingdom in the North Sea (North Sea). It also has active exploration and appraisal operations ongoing in Suriname, as well as interests in Uruguay and other international locations. It maintains a diversified asset portfolio, including conventional and unconventional, onshore and offshore, oil and natural gas exploration and production interests. In the United States, operations are primarily focused on the Permian Basin of West Texas. The Company has conventional onshore assets in Egypt’s Western Desert, and offshore assets on the United Kingdom’s Continental Shelf.</v>
    <v>2305</v>
    <v>Nasdaq Stock Market</v>
    <v>XNAS</v>
    <v>XNAS</v>
    <v>2000 W Sam Houston Pkwy S, Suite 200, HOUSTON, TX, 77042 US</v>
    <v>16.875</v>
    <v>Oil &amp; Gas</v>
    <v>Stock</v>
    <v>45800.984959374997</v>
    <v>1153</v>
    <v>16.25</v>
    <v>6080240000</v>
    <v>APA CORPORATION</v>
    <v>APA CORPORATION</v>
    <v>16.28</v>
    <v>6.0502000000000002</v>
    <v>16.739999999999998</v>
    <v>16.850000000000001</v>
    <v>16.75</v>
    <v>360845100</v>
    <v>APA</v>
    <v>APA CORPORATION (XNAS:APA)</v>
    <v>6822199</v>
    <v>7923970</v>
    <v>2021</v>
  </rv>
  <rv s="4">
    <v>1154</v>
  </rv>
  <rv s="0">
    <v>https://www.bing.com/financeapi/forcetrigger?t=a1w8ec&amp;q=XNYS%3aJNJ&amp;form=skydnc</v>
    <v>Learn more on Bing</v>
  </rv>
  <rv s="5">
    <v>en-CA</v>
    <v>a1w8ec</v>
    <v>268435456</v>
    <v>1</v>
    <v>Powered by Refinitiv</v>
    <v>7</v>
    <v>JOHNSON &amp; JOHNSON (XNYS:JNJ)</v>
    <v>8</v>
    <v>9</v>
    <v>Finance</v>
    <v>5</v>
    <v>169.99</v>
    <v>140.68</v>
    <v>0.40949999999999998</v>
    <v>0.33</v>
    <v>-3.9229999999999995E-6</v>
    <v>2.1619999999999999E-3</v>
    <v>-5.9999999999999995E-4</v>
    <v>USD</v>
    <v>Johnson &amp; Johnson and its subsidiaries are engaged in the research and development, manufacture, and sale of a range of products in the healthcare field. The Company's primary focus is products related to human health and well-being. The Company operates through two segments: Innovative Medicine and MedTech. The Innovative Medicine segment is focused on various therapeutic areas, including immunology, infectious diseases, neuroscience, oncology, pulmonary hypertension, and cardiovascular and metabolism. Medicines in this segment are distributed directly to retailers, wholesalers, distributors, hospitals, and healthcare professionals for prescription use. The MedTech segment includes a broad portfolio of products used in the orthopedic, surgery, cardiovascular, and vision fields. These products are distributed to wholesalers, hospitals and retailers, and used principally in the professional fields by physicians, nurses, hospitals, eyecare professionals, and clinics.</v>
    <v>138100</v>
    <v>New York Stock Exchange</v>
    <v>XNYS</v>
    <v>XNYS</v>
    <v>One Johnson &amp; Johnson Plaza, NEW BRUNSWICK, NJ, 08933 US</v>
    <v>153.47999999999999</v>
    <v>Pharmaceuticals</v>
    <v>Stock</v>
    <v>45800.999928599216</v>
    <v>1156</v>
    <v>152.21</v>
    <v>367984800000</v>
    <v>JOHNSON &amp; JOHNSON</v>
    <v>JOHNSON &amp; JOHNSON</v>
    <v>153</v>
    <v>16.9666</v>
    <v>152.61000000000001</v>
    <v>152.94</v>
    <v>152.93940000000001</v>
    <v>2406073000</v>
    <v>JNJ</v>
    <v>JOHNSON &amp; JOHNSON (XNYS:JNJ)</v>
    <v>6727539</v>
    <v>8034065</v>
    <v>1887</v>
  </rv>
  <rv s="4">
    <v>1157</v>
  </rv>
  <rv s="0">
    <v>https://www.bing.com/financeapi/forcetrigger?t=a1xxmw&amp;q=XNYS%3aMRK&amp;form=skydnc</v>
    <v>Learn more on Bing</v>
  </rv>
  <rv s="5">
    <v>en-CA</v>
    <v>a1xxmw</v>
    <v>268435456</v>
    <v>1</v>
    <v>Powered by Refinitiv</v>
    <v>7</v>
    <v>MERCK &amp; CO., INC. (XNYS:MRK)</v>
    <v>8</v>
    <v>9</v>
    <v>Finance</v>
    <v>5</v>
    <v>134.63</v>
    <v>73.31</v>
    <v>0.42030000000000001</v>
    <v>-0.26</v>
    <v>1.547E-3</v>
    <v>-3.3400000000000001E-3</v>
    <v>0.12</v>
    <v>USD</v>
    <v>Merck &amp; Co., Inc. is a global health care company that delivers health solutions through its prescription medicines, including biologic therapies, vaccines and animal health products. The Company's segments include Pharmaceutical and Animal Health. Pharmaceutical segment includes human health pharmaceutical and vaccine products. The Company sells its human health pharmaceutical products primarily to drug wholesalers and retailers, hospitals, government agencies and managed health care providers. It sells its human health vaccines primarily to physicians, wholesalers, distributors and government entities. Animal Health segment discovers, develops, manufactures and markets a range of veterinary pharmaceutical and vaccine products, as well as health management solutions and services, for the prevention, treatment and control of disease in all major livestock and companion animal species. It sells its products to veterinarians, distributors, animal producers, farmers and pet owners.</v>
    <v>75000</v>
    <v>New York Stock Exchange</v>
    <v>XNYS</v>
    <v>XNYS</v>
    <v>126 East Lincoln Avenue, P.O. Box 2000, RAHWAY, NJ, 07065 US</v>
    <v>77.900000000000006</v>
    <v>Pharmaceuticals</v>
    <v>Stock</v>
    <v>45800.997564039062</v>
    <v>1159</v>
    <v>77.08</v>
    <v>194805800000</v>
    <v>MERCK &amp; CO., INC.</v>
    <v>MERCK &amp; CO., INC.</v>
    <v>77.545000000000002</v>
    <v>11.330500000000001</v>
    <v>77.84</v>
    <v>77.58</v>
    <v>77.7</v>
    <v>2511031000</v>
    <v>MRK</v>
    <v>MERCK &amp; CO., INC. (XNYS:MRK)</v>
    <v>10902223</v>
    <v>15805113</v>
    <v>1970</v>
  </rv>
  <rv s="4">
    <v>1160</v>
  </rv>
  <rv s="0">
    <v>http://en.wikipedia.org/wiki/Amgen</v>
    <v>Wikipedia</v>
  </rv>
  <rv s="1">
    <v>0</v>
    <v>1162</v>
  </rv>
  <rv s="2">
    <v>6</v>
    <v>https://www.bing.com/th?id=AMMS_7651d2e878d4df4bb82a200be2db03e3&amp;qlt=95</v>
    <v>1163</v>
    <v>0</v>
    <v>https://www.bing.com/images/search?form=xlimg&amp;q=amgen</v>
    <v>Image of AMGEN INC.</v>
  </rv>
  <rv s="0">
    <v>https://www.bing.com/financeapi/forcetrigger?t=a1nec7&amp;q=XNAS%3aAMGN&amp;form=skydnc</v>
    <v>Learn more on Bing</v>
  </rv>
  <rv s="3">
    <v>en-CA</v>
    <v>a1nec7</v>
    <v>268435456</v>
    <v>1</v>
    <v>Powered by Refinitiv</v>
    <v>0</v>
    <v>AMGEN INC. (XNAS:AMGN)</v>
    <v>3</v>
    <v>4</v>
    <v>Finance</v>
    <v>5</v>
    <v>346.85</v>
    <v>253.3</v>
    <v>0.4924</v>
    <v>-0.24</v>
    <v>9.6399999999999993E-3</v>
    <v>-8.8270000000000004E-4</v>
    <v>2.6187999999999998</v>
    <v>USD</v>
    <v>Amgen Inc. is a biotechnology company. It discovers, develops, manufactures and delivers medicines for the toughest diseases. It focuses on areas of high unmet medical need and leverages its expertise to strive for solutions that improve people’s lives. It operates in the human therapeutics segment. Its marketed products portfolio includes EPOGEN (epoetin alfa); Aranesp (darbepoetin alfa); Parsabiv (etelcalcetide); Neulasta (pegfilgrastim); KANJINTI (trastuzumab-anns); Otezla; BLINCYTO (blinatumomab); ACTIMMUNE (interferon gamma-1b); Neulasta (pegfilgrastim); Sensipar/Mimpara (cinacalcet); Prolia (denosumab); ENBREL; QUINSAIR (levofloxacin); Repatha (evolocumab) and others. It markets ENBREL, a tumor necrosis factor blocker, in the United States and Canada. It markets Otezla, a small molecule that inhibits phosphodiesterase 4, in many countries around the world. It markets Repatha, a proprotein convertase subtilisin/kexin type 9 (PCSK9) inhibitor, in many countries around the world.</v>
    <v>28000</v>
    <v>Nasdaq Stock Market</v>
    <v>XNAS</v>
    <v>XNAS</v>
    <v>One Amgen Center Drive, THOUSAND OAKS, CA, 91320-1799 US</v>
    <v>272.52</v>
    <v>1164</v>
    <v>Pharmaceuticals</v>
    <v>Stock</v>
    <v>45800.98998548594</v>
    <v>1165</v>
    <v>269.12830000000002</v>
    <v>146073300000</v>
    <v>AMGEN INC.</v>
    <v>AMGEN INC.</v>
    <v>269.48</v>
    <v>24.815000000000001</v>
    <v>271.89999999999998</v>
    <v>271.66000000000003</v>
    <v>274.27879999999999</v>
    <v>537706100</v>
    <v>AMGN</v>
    <v>AMGEN INC. (XNAS:AMGN)</v>
    <v>2532123</v>
    <v>2844614</v>
    <v>1986</v>
  </rv>
  <rv s="4">
    <v>1166</v>
  </rv>
  <rv s="0">
    <v>https://www.bing.com/financeapi/forcetrigger?t=a1zqnm&amp;q=XNYS%3aPFE&amp;form=skydnc</v>
    <v>Learn more on Bing</v>
  </rv>
  <rv s="5">
    <v>en-CA</v>
    <v>a1zqnm</v>
    <v>268435456</v>
    <v>1</v>
    <v>Powered by Refinitiv</v>
    <v>7</v>
    <v>PFIZER INC. (XNYS:PFE)</v>
    <v>8</v>
    <v>9</v>
    <v>Finance</v>
    <v>5</v>
    <v>31.54</v>
    <v>20.914999999999999</v>
    <v>0.53800000000000003</v>
    <v>0.28000000000000003</v>
    <v>4.2880000000000001E-4</v>
    <v>1.2153000000000001E-2</v>
    <v>0.01</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23.39</v>
    <v>Pharmaceuticals</v>
    <v>Stock</v>
    <v>45800.999992291407</v>
    <v>1168</v>
    <v>22.88</v>
    <v>132582700000</v>
    <v>PFIZER INC.</v>
    <v>PFIZER INC.</v>
    <v>22.95</v>
    <v>16.708100000000002</v>
    <v>23.04</v>
    <v>23.32</v>
    <v>23.33</v>
    <v>5685366000</v>
    <v>PFE</v>
    <v>PFIZER INC. (XNYS:PFE)</v>
    <v>35405386</v>
    <v>48932862</v>
    <v>1942</v>
  </rv>
  <rv s="4">
    <v>1169</v>
  </rv>
  <rv s="0">
    <v>https://www.bing.com/financeapi/forcetrigger?t=a1tvoc&amp;q=XNAS%3aGILD&amp;form=skydnc</v>
    <v>Learn more on Bing</v>
  </rv>
  <rv s="5">
    <v>en-CA</v>
    <v>a1tvoc</v>
    <v>268435456</v>
    <v>1</v>
    <v>Powered by Refinitiv</v>
    <v>7</v>
    <v>GILEAD SCIENCES, INC. (XNAS:GILD)</v>
    <v>8</v>
    <v>9</v>
    <v>Finance</v>
    <v>5</v>
    <v>119.96</v>
    <v>62.07</v>
    <v>0.30409999999999998</v>
    <v>0.63</v>
    <v>-7.1709999999999994E-3</v>
    <v>5.9019999999999993E-3</v>
    <v>-0.77</v>
    <v>USD</v>
    <v>Gilead Sciences, Inc. is a biopharmaceutical company. The Company is engaged in advancing medicines to prevent and treat life-threatening diseases, including human immunodeficiency virus (HIV), viral hepatitis, COVID-19, cancer and inflammation. It is focused on discovering, developing and delivering medicines to address unmet medical needs in virology, oncology and other therapeutic areas. Its portfolio of marketed products includes Biktarvy, Genvoya, Descovy, Complera/Eviplera, Symtuza, Truvada, Stribild, Sunlenca, Epclusa, Vemlidy, Harvoni, Viread, Livdelzi, Veklury, Yescarta, Tecartus, Trodelvy, AmBisome, and Letairis. Its product candidates include Bulevirtide, Lenacapavir, Axicabtagene ciloleucel, Anitocabtagene autoleucel, Sacituzumab govitecan-hziy, and Domvanalimab and zimberelimab. Biktarvy is an oral formulation dosed once a day for the treatment of HIV-1 infection in certain patients. It operates in more than 35 countries worldwide.</v>
    <v>17600</v>
    <v>Nasdaq Stock Market</v>
    <v>XNAS</v>
    <v>XNAS</v>
    <v>333 LAKESIDE DR, FOSTER CITY, CA, 94404-1147 US</v>
    <v>107.84</v>
    <v>Pharmaceuticals</v>
    <v>Stock</v>
    <v>45800.990967916405</v>
    <v>1171</v>
    <v>105.58</v>
    <v>133560700000</v>
    <v>GILEAD SCIENCES, INC.</v>
    <v>GILEAD SCIENCES, INC.</v>
    <v>105.85</v>
    <v>22.576599999999999</v>
    <v>106.74</v>
    <v>107.37</v>
    <v>106.6</v>
    <v>1243929000</v>
    <v>GILD</v>
    <v>GILEAD SCIENCES, INC. (XNAS:GILD)</v>
    <v>6037524</v>
    <v>9154466</v>
    <v>1987</v>
  </rv>
  <rv s="4">
    <v>1172</v>
  </rv>
  <rv s="0">
    <v>https://www.bing.com/financeapi/forcetrigger?t=a1ook2&amp;q=XNYS%3aBMY&amp;form=skydnc</v>
    <v>Learn more on Bing</v>
  </rv>
  <rv s="5">
    <v>en-CA</v>
    <v>a1ook2</v>
    <v>268435456</v>
    <v>1</v>
    <v>Powered by Refinitiv</v>
    <v>7</v>
    <v>BRISTOL-MYERS SQUIBB CO (XNYS:BMY)</v>
    <v>8</v>
    <v>9</v>
    <v>Finance</v>
    <v>5</v>
    <v>63.33</v>
    <v>39.35</v>
    <v>0.38940000000000002</v>
    <v>-0.18</v>
    <v>6.4030000000000001E-4</v>
    <v>-3.8269999999999997E-3</v>
    <v>0.03</v>
    <v>USD</v>
    <v>Bristol-Myers Squibb Company is a global biopharmaceutical company. It is engaged in the discovery, development and delivery of transformational medicines for patients facing serious diseases in areas: oncology, hematology, immunology, cardiovascular, neuroscience and other areas. Its platforms comprise chemically synthesized or small molecule drugs, including protein degraders; drugs produced from biological processes, called biologics; ADCs, CAR-T cell therapies, and radiopharmaceutical therapeutics. Small molecule drugs are typically administered orally in the form of a tablet or capsule, although other drug delivery mechanisms are also used. Biologics are typically administered through injections or by intravenous infusion. CAR-T cell therapies are administered by intravenous infusion. Its growth portfolio includes Opdivo, Opdivo Qvantig, Orencia, Yervoy, Reblozyl, Opdualag, and others. Its legacy portfolio includes Eliquis, Revlimid, Pomalyst/Imnovid, Sprycel and Abraxane.</v>
    <v>34100</v>
    <v>New York Stock Exchange</v>
    <v>XNYS</v>
    <v>XNYS</v>
    <v>Route 206 And Province Line Road, PRINCETON, NJ, 08543 US</v>
    <v>47.16</v>
    <v>Pharmaceuticals</v>
    <v>Stock</v>
    <v>45800.981573599216</v>
    <v>1174</v>
    <v>46.484999999999999</v>
    <v>95343540000</v>
    <v>BRISTOL-MYERS SQUIBB CO</v>
    <v>BRISTOL-MYERS SQUIBB CO</v>
    <v>46.93</v>
    <v>17.644200000000001</v>
    <v>47.03</v>
    <v>46.85</v>
    <v>46.88</v>
    <v>2035081000</v>
    <v>BMY</v>
    <v>BRISTOL-MYERS SQUIBB CO (XNYS:BMY)</v>
    <v>8401517</v>
    <v>16796812</v>
    <v>1933</v>
  </rv>
  <rv s="4">
    <v>1175</v>
  </rv>
  <rv s="0">
    <v>https://www.bing.com/financeapi/forcetrigger?t=a1xe52&amp;q=XNYS%3aMCK&amp;form=skydnc</v>
    <v>Learn more on Bing</v>
  </rv>
  <rv s="5">
    <v>en-CA</v>
    <v>a1xe52</v>
    <v>268435456</v>
    <v>1</v>
    <v>Powered by Refinitiv</v>
    <v>7</v>
    <v>MCKESSON CORPORATION (XNYS:MCK)</v>
    <v>8</v>
    <v>9</v>
    <v>Finance</v>
    <v>5</v>
    <v>731</v>
    <v>464.41500000000002</v>
    <v>0.49270000000000003</v>
    <v>5.45</v>
    <v>-7.2620000000000009E-4</v>
    <v>7.6690000000000005E-3</v>
    <v>-0.52</v>
    <v>USD</v>
    <v>McKesson Corporation is a diversified healthcare services provider. It is engaged in advancing health outcomes for patients everywhere. Its U.S. Pharmaceutical segment distributes branded, generic, specialty, biosimilar and over-the-counter (OTC) pharmaceutical drugs, and other healthcare-related products in the United States (U.S.). The Prescription Technology Solutions (RxTS) segment helps solve medication access, affordability and adherence challenges for patients by working across healthcare to connect patients, pharmacies, providers, pharmacy benefit managers, health plans, and biopharma companies. The Medical-Surgical Solutions segment provides medical-surgical supply distribution, logistics, and other services to healthcare providers, including physician offices, surgery centers, nursing homes, hospital reference labs, and home healthcare agencies. The International segment provides distribution and services to wholesale, institutional, and retail customers in Canada and Norway.</v>
    <v>43000</v>
    <v>New York Stock Exchange</v>
    <v>XNYS</v>
    <v>XNYS</v>
    <v>6555 State Highway 161, IRVING, TX, 75039 US</v>
    <v>718.25</v>
    <v>Pharmaceuticals</v>
    <v>Stock</v>
    <v>45800.998169756247</v>
    <v>1177</v>
    <v>709.48</v>
    <v>89591620000</v>
    <v>MCKESSON CORPORATION</v>
    <v>MCKESSON CORPORATION</v>
    <v>715.24</v>
    <v>27.627600000000001</v>
    <v>710.64</v>
    <v>716.09</v>
    <v>715.57</v>
    <v>125112200</v>
    <v>MCK</v>
    <v>MCKESSON CORPORATION (XNYS:MCK)</v>
    <v>816007</v>
    <v>1074476</v>
    <v>1994</v>
  </rv>
  <rv s="4">
    <v>1178</v>
  </rv>
  <rv s="0">
    <v>https://www.bing.com/financeapi/forcetrigger?t=a26hyc&amp;q=XNYS%3aZTS&amp;form=skydnc</v>
    <v>Learn more on Bing</v>
  </rv>
  <rv s="5">
    <v>en-CA</v>
    <v>a26hyc</v>
    <v>268435456</v>
    <v>1</v>
    <v>Powered by Refinitiv</v>
    <v>7</v>
    <v>ZOETIS INC. (XNYS:ZTS)</v>
    <v>8</v>
    <v>9</v>
    <v>Finance</v>
    <v>5</v>
    <v>200.33</v>
    <v>139.69999999999999</v>
    <v>0.93379999999999996</v>
    <v>0.61</v>
    <v>0</v>
    <v>3.7659999999999998E-3</v>
    <v>0</v>
    <v>USD</v>
    <v>Zoetis Inc. is a global animal health company. The Company is focused on the discovery, development, manufacture and commercialization of medicines, vaccines, diagnostic products and services, biodevices, genetic tests and precision animal health. The Company operates through two segments: the United States (U.S.) and International. Within each of these operating segments, it offers a diversified product portfolio, including parasiticides, vaccines, dermatology, anti-infectives, pain and sedation, other pharmaceutical, and animal health diagnostics, for both companion animal and livestock customers. It directly markets its products in approximately 45 countries across North America, Europe, Africa, Asia, Australia and South America. The Company is engaged in commercializing products across eight species: dogs, cats and horses (collectively, companion animals) and cattle, poultry, swine, fish and sheep (collectively, livestock).</v>
    <v>13800</v>
    <v>New York Stock Exchange</v>
    <v>XNYS</v>
    <v>XNYS</v>
    <v>10 Sylvan Way, PARSIPPANY, NJ, 07054 US</v>
    <v>163.06</v>
    <v>Pharmaceuticals</v>
    <v>Stock</v>
    <v>45800.958333367969</v>
    <v>1180</v>
    <v>160.13999999999999</v>
    <v>72381920000</v>
    <v>ZOETIS INC.</v>
    <v>ZOETIS INC.</v>
    <v>160.55000000000001</v>
    <v>29.0855</v>
    <v>161.97</v>
    <v>162.58000000000001</v>
    <v>162.58000000000001</v>
    <v>445208000</v>
    <v>ZTS</v>
    <v>ZOETIS INC. (XNYS:ZTS)</v>
    <v>2732205</v>
    <v>3085322</v>
    <v>2012</v>
  </rv>
  <rv s="4">
    <v>1181</v>
  </rv>
  <rv s="0">
    <v>https://www.bing.com/financeapi/forcetrigger?t=a1p58m&amp;q=XNYS%3aCAH&amp;form=skydnc</v>
    <v>Learn more on Bing</v>
  </rv>
  <rv s="5">
    <v>en-CA</v>
    <v>a1p58m</v>
    <v>268435456</v>
    <v>1</v>
    <v>Powered by Refinitiv</v>
    <v>7</v>
    <v>CARDINAL HEALTH, INC. (XNYS:CAH)</v>
    <v>8</v>
    <v>9</v>
    <v>Finance</v>
    <v>5</v>
    <v>156.435</v>
    <v>93.17</v>
    <v>0.66779999999999995</v>
    <v>0.26</v>
    <v>-3.2079999999999999E-3</v>
    <v>1.7050000000000001E-3</v>
    <v>-0.49</v>
    <v>USD</v>
    <v>Cardinal Health, Inc. is a global healthcare services and products company. The Company is engaged in providing customized solutions for hospitals, healthcare systems, pharmacies, ambulatory surgery centers, clinical laboratories, physician offices and patients in the home. The Company also provides pharmaceuticals and medical products. The Company’s segments include Pharmaceutical and Specialty Solutions and Global Medical Products and Distribution (GMPD). The Pharmaceutical and Specialty Solutions segment distributes branded and generic pharmaceuticals, specialty pharmaceuticals and over-the-counter healthcare and consumer products in the United States. Its GMPD segment manufactures, sources and distributes Cardinal Health branded medical, surgical and laboratory products, which are sold in the United States, Canada, Europe, Asia and other markets. The Company connects patients, providers, payers, pharmacists and manufacturers for integrated care coordination.</v>
    <v>48900</v>
    <v>New York Stock Exchange</v>
    <v>XNYS</v>
    <v>XNYS</v>
    <v>7000 Cardinal Pl, DUBLIN, OH, 43017 US</v>
    <v>153.15</v>
    <v>Pharmaceuticals</v>
    <v>Stock</v>
    <v>45800.958333356248</v>
    <v>1183</v>
    <v>150.76499999999999</v>
    <v>36457910000</v>
    <v>CARDINAL HEALTH, INC.</v>
    <v>CARDINAL HEALTH, INC.</v>
    <v>152.15</v>
    <v>23.829899999999999</v>
    <v>152.49</v>
    <v>152.75</v>
    <v>152.26</v>
    <v>238677000</v>
    <v>CAH</v>
    <v>CARDINAL HEALTH, INC. (XNYS:CAH)</v>
    <v>1856640</v>
    <v>2480763</v>
    <v>1979</v>
  </rv>
  <rv s="4">
    <v>1184</v>
  </rv>
  <rv s="0">
    <v>https://www.bing.com/financeapi/forcetrigger?t=a1ohur&amp;q=XNAS%3aBIIB&amp;form=skydnc</v>
    <v>Learn more on Bing</v>
  </rv>
  <rv s="5">
    <v>en-CA</v>
    <v>a1ohur</v>
    <v>268435456</v>
    <v>1</v>
    <v>Powered by Refinitiv</v>
    <v>7</v>
    <v>BIOGEN INC. (XNAS:BIIB)</v>
    <v>8</v>
    <v>9</v>
    <v>Finance</v>
    <v>5</v>
    <v>238</v>
    <v>110.035</v>
    <v>0.12479999999999999</v>
    <v>-0.49</v>
    <v>-1.4228000000000001E-2</v>
    <v>-3.8800000000000002E-3</v>
    <v>-1.79</v>
    <v>USD</v>
    <v>Biogen Inc. is a global biopharmaceutical company. The Company is focused on discovering, developing, and delivering advanced therapies for people living with serious and complex diseases worldwide. It operates a portfolio of medicines to treat multiple sclerosis (MS), spinal muscular atrophy (SMA), Alzheimer's disease, and amyotrophic lateral sclerosis (ALS). It is focused on advancing its pipeline in neurology, specialized immunology, and rare diseases. Its marketed products include TECFIDERA, VUMERITY, AVONEX, PLEGRIDY, TYSABRI and FAMPYRA for the treatment of MS; SPINRAZA for the treatment of SMA; SKYCLARYS for the treatment of Friedreich's Ataxia; QALSODY for the treatment of ALS, and FUMADERM for the treatment of severe plaque psoriasis. It also collaborations with Eisai on the commercialization of LEQEMBI for the treatment of Alzheimer's disease and Sage on the commercialization of ZURZUVAE for the treatment of Postpartum Depression (PPD).</v>
    <v>7605</v>
    <v>Nasdaq Stock Market</v>
    <v>XNAS</v>
    <v>XNAS</v>
    <v>225 Binney Street, CAMBRIDGE, MA, 02142 US</v>
    <v>126.19</v>
    <v>Pharmaceuticals</v>
    <v>Stock</v>
    <v>45800.983771851563</v>
    <v>1186</v>
    <v>123.97</v>
    <v>18434580000</v>
    <v>BIOGEN INC.</v>
    <v>BIOGEN INC.</v>
    <v>124.285</v>
    <v>12.470800000000001</v>
    <v>126.3</v>
    <v>125.81</v>
    <v>124.02</v>
    <v>146527100</v>
    <v>BIIB</v>
    <v>BIOGEN INC. (XNAS:BIIB)</v>
    <v>837407</v>
    <v>1645488</v>
    <v>1997</v>
  </rv>
  <rv s="4">
    <v>1187</v>
  </rv>
  <rv s="0">
    <v>https://www.bing.com/financeapi/forcetrigger?t=a1y7rw&amp;q=XNAS%3aVTRS&amp;form=skydnc</v>
    <v>Learn more on Bing</v>
  </rv>
  <rv s="5">
    <v>en-CA</v>
    <v>a1y7rw</v>
    <v>268435456</v>
    <v>1</v>
    <v>Powered by Refinitiv</v>
    <v>7</v>
    <v>VIATRIS INC. (XNAS:VTRS)</v>
    <v>8</v>
    <v>9</v>
    <v>Finance</v>
    <v>5</v>
    <v>13.55</v>
    <v>6.85</v>
    <v>0.87829999999999997</v>
    <v>-0.09</v>
    <v>-2.4129999999999998E-3</v>
    <v>-1.0740000000000001E-2</v>
    <v>-0.02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8.31</v>
    <v>Pharmaceuticals</v>
    <v>Stock</v>
    <v>45800.998075832809</v>
    <v>1189</v>
    <v>8.19</v>
    <v>9729823000</v>
    <v>VIATRIS INC.</v>
    <v>VIATRIS INC.</v>
    <v>8.26</v>
    <v>0</v>
    <v>8.3800000000000008</v>
    <v>8.2899999999999991</v>
    <v>8.27</v>
    <v>1173682000</v>
    <v>VTRS</v>
    <v>VIATRIS INC. (XNAS:VTRS)</v>
    <v>9914487</v>
    <v>13373154</v>
    <v>2019</v>
  </rv>
  <rv s="4">
    <v>1190</v>
  </rv>
  <rv s="0">
    <v>https://www.bing.com/financeapi/forcetrigger?t=a1vjbh&amp;q=XNAS%3aINCY&amp;form=skydnc</v>
    <v>Learn more on Bing</v>
  </rv>
  <rv s="5">
    <v>en-CA</v>
    <v>a1vjbh</v>
    <v>268435456</v>
    <v>1</v>
    <v>Powered by Refinitiv</v>
    <v>7</v>
    <v>INCYTE CORPORATION (XNAS:INCY)</v>
    <v>8</v>
    <v>9</v>
    <v>Finance</v>
    <v>5</v>
    <v>83.95</v>
    <v>53.56</v>
    <v>0.67449999999999999</v>
    <v>-0.26500000000000001</v>
    <v>1.9068000000000002E-2</v>
    <v>-4.1079999999999997E-3</v>
    <v>1.2250000000000001</v>
    <v>USD</v>
    <v>Incyte Corporation is a biopharmaceutical company, which is focused on the discovery, development, and commercialization of therapeutics. The Company operates in two therapeutic areas. One therapeutic area is Hematology/Oncology, which is comprised of Myeloproliferative Neoplasms and Graft-Versus-Host Disease, as well as solid tumors and hematologic malignancies. Its other therapeutic area is Inflammation and Autoimmunity, which includes its Dermatology commercial franchise. Its hematology and oncology franchise are comprised of six products, which are JAKAFI (ruxolitinib), MONJUVI (tafasitamab-cxix)/MINJUVI (tafasitamab), PEMAZYRE (pemigatinib), ICLUSIG (ponatinib), NIKTIMVO (axatilimab-csfr), and ZYNYZ (retifanlimab-dlwr), as well as numerous clinical development programs. The Company's pipeline also includes two first-in-class small molecule antagonist of Mas-related G protein-coupled receptor (MRGPRX2) and INCB000547, an oral MRGPRX4 antagonist.</v>
    <v>2617</v>
    <v>Nasdaq Stock Market</v>
    <v>XNAS</v>
    <v>XNAS</v>
    <v>1801 Augustine Cut-Off, WILMINGTON, DE, 19803 US</v>
    <v>64.569999999999993</v>
    <v>Pharmaceuticals</v>
    <v>Stock</v>
    <v>45800.853788818749</v>
    <v>1192</v>
    <v>63.51</v>
    <v>12435900000</v>
    <v>INCYTE CORPORATION</v>
    <v>INCYTE CORPORATION</v>
    <v>63.901000000000003</v>
    <v>233.0479</v>
    <v>64.510000000000005</v>
    <v>64.245000000000005</v>
    <v>65.47</v>
    <v>193569900</v>
    <v>INCY</v>
    <v>INCYTE CORPORATION (XNAS:INCY)</v>
    <v>873888</v>
    <v>1840306</v>
    <v>1991</v>
  </rv>
  <rv s="4">
    <v>1193</v>
  </rv>
  <rv s="0">
    <v>https://www.bing.com/financeapi/forcetrigger?t=a1nz8m&amp;q=XNAS%3aAVGO&amp;form=skydnc</v>
    <v>Learn more on Bing</v>
  </rv>
  <rv s="5">
    <v>en-CA</v>
    <v>a1nz8m</v>
    <v>268435456</v>
    <v>1</v>
    <v>Powered by Refinitiv</v>
    <v>7</v>
    <v>BROADCOM INC. (XNAS:AVGO)</v>
    <v>8</v>
    <v>9</v>
    <v>Finance</v>
    <v>5</v>
    <v>251.88</v>
    <v>128.5</v>
    <v>1.0874999999999999</v>
    <v>-1.81</v>
    <v>-3.3670000000000002E-3</v>
    <v>-7.8510000000000003E-3</v>
    <v>-0.77</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230.65</v>
    <v>Semiconductors &amp; Semiconductor Equipment</v>
    <v>Stock</v>
    <v>45800.999974339844</v>
    <v>1195</v>
    <v>226.18</v>
    <v>1075430000000</v>
    <v>BROADCOM INC.</v>
    <v>BROADCOM INC.</v>
    <v>226.94</v>
    <v>180.22900000000001</v>
    <v>230.53</v>
    <v>228.72</v>
    <v>227.95</v>
    <v>4701949000</v>
    <v>AVGO</v>
    <v>BROADCOM INC. (XNAS:AVGO)</v>
    <v>15385632</v>
    <v>19662928</v>
    <v>2018</v>
  </rv>
  <rv s="4">
    <v>1196</v>
  </rv>
  <rv s="0">
    <v>http://en.wikipedia.org/wiki/Qualcomm</v>
    <v>Wikipedia</v>
  </rv>
  <rv s="1">
    <v>0</v>
    <v>1198</v>
  </rv>
  <rv s="2">
    <v>6</v>
    <v>https://www.bing.com/th?id=AMMS_2b1c176dae370ecc0d55a1517537f595&amp;qlt=95</v>
    <v>1199</v>
    <v>0</v>
    <v>https://www.bing.com/images/search?form=xlimg&amp;q=qualcomm</v>
    <v>Image of QUALCOMM INCORPORATED</v>
  </rv>
  <rv s="0">
    <v>https://www.bing.com/financeapi/forcetrigger?t=a21k2w&amp;q=XNAS%3aQCOM&amp;form=skydnc</v>
    <v>Learn more on Bing</v>
  </rv>
  <rv s="3">
    <v>en-CA</v>
    <v>a21k2w</v>
    <v>268435456</v>
    <v>1</v>
    <v>Powered by Refinitiv</v>
    <v>0</v>
    <v>QUALCOMM INCORPORATED (XNAS:QCOM)</v>
    <v>3</v>
    <v>4</v>
    <v>Finance</v>
    <v>5</v>
    <v>230.63</v>
    <v>120.8019</v>
    <v>1.2821</v>
    <v>-1.99</v>
    <v>-1.444E-3</v>
    <v>-1.3503000000000001E-2</v>
    <v>-0.21</v>
    <v>USD</v>
    <v>Qualcomm Incorporated is engaged in the development and commercialization of foundational technologies for the wireless industry, including third generation (3G), fourth generation (4G) and fifth generation (5G) wireless connectivity, and high-performance and low-power computing, including on-device artificial intelligence. Its segments include Qualcomm CDMA Technologies (QCT), Qualcomm Technology Licensing (QTL) and Qualcomm Strategic Initiatives. QCT develops and supplies integrated circuits and system software based on 3G/4G/5G and other technologies, including radio frequency front-end, digital cockpit and advanced driver assistance and automated driving, Internet of things including consumer electronic devices, industrial devices and edge networking products. QTL grants licenses or otherwise provides rights to use portions of its intellectual property portfolio that includes certain patent rights essential to and/or useful in the manufacture and sale of certain wireless products.</v>
    <v>49000</v>
    <v>Nasdaq Stock Market</v>
    <v>XNAS</v>
    <v>XNAS</v>
    <v>5775 Morehouse Dr, SAN DIEGO, CA, 92121 US</v>
    <v>146.48500000000001</v>
    <v>1200</v>
    <v>Semiconductors &amp; Semiconductor Equipment</v>
    <v>Stock</v>
    <v>45800.999672279686</v>
    <v>1201</v>
    <v>141.77000000000001</v>
    <v>158294700000</v>
    <v>QUALCOMM INCORPORATED</v>
    <v>QUALCOMM INCORPORATED</v>
    <v>143.41999999999999</v>
    <v>15.0458</v>
    <v>147.37</v>
    <v>145.38</v>
    <v>145.16999999999999</v>
    <v>1088834000</v>
    <v>QCOM</v>
    <v>QUALCOMM INCORPORATED (XNAS:QCOM)</v>
    <v>8994607</v>
    <v>8750124</v>
    <v>1991</v>
  </rv>
  <rv s="4">
    <v>1202</v>
  </rv>
  <rv s="0">
    <v>https://www.bing.com/financeapi/forcetrigger?t=a24p1h&amp;q=XNAS%3aTXN&amp;form=skydnc</v>
    <v>Learn more on Bing</v>
  </rv>
  <rv s="5">
    <v>en-CA</v>
    <v>a24p1h</v>
    <v>268435456</v>
    <v>1</v>
    <v>Powered by Refinitiv</v>
    <v>7</v>
    <v>TEXAS INSTRUMENTS INCORPORATED (XNAS:TXN)</v>
    <v>8</v>
    <v>9</v>
    <v>Finance</v>
    <v>5</v>
    <v>220.38499999999999</v>
    <v>139.94999999999999</v>
    <v>0.97489999999999999</v>
    <v>-3.91</v>
    <v>-3.0630000000000002E-3</v>
    <v>-2.1697000000000001E-2</v>
    <v>-0.54</v>
    <v>USD</v>
    <v>Texas Instruments Incorporated is a global semiconductor company that designs, manufactures, tests, and sells analog and embedded processing chips for markets, such as industrial, automotive, personal electronics, communications equipment, and enterprise systems. Its Analog segment includes product lines, such as Power and Signal Chain. Power includes products that help customers manage power in electronic systems. Its portfolio is designed to manage power requirements across different voltage levels, including battery-management solutions, DC/DC switching regulators, AC/DC and isolated DC/DC switching regulators, power switches, linear and low-dropout regulators, voltage references, and others. Signal Chain includes products that sense, condition, and measure real-world signals to allow information to be transferred or converted for further processing and control. The Embedded Processing segment includes microcontrollers, digital signal processors (DSPs) and applications processors.</v>
    <v>34000</v>
    <v>Nasdaq Stock Market</v>
    <v>XNAS</v>
    <v>XNAS</v>
    <v>12500 T I Blvd, DALLAS, TX, 75243-0592 US</v>
    <v>177.29</v>
    <v>Semiconductors &amp; Semiconductor Equipment</v>
    <v>Stock</v>
    <v>45800.991877800778</v>
    <v>1204</v>
    <v>173.75</v>
    <v>160163600000</v>
    <v>TEXAS INSTRUMENTS INCORPORATED</v>
    <v>TEXAS INSTRUMENTS INCORPORATED</v>
    <v>177.005</v>
    <v>34.144399999999997</v>
    <v>180.21</v>
    <v>176.3</v>
    <v>175.76</v>
    <v>908472100</v>
    <v>TXN</v>
    <v>TEXAS INSTRUMENTS INCORPORATED (XNAS:TXN)</v>
    <v>7417050</v>
    <v>7839544</v>
    <v>1938</v>
  </rv>
  <rv s="4">
    <v>1205</v>
  </rv>
  <rv s="0">
    <v>https://www.bing.com/financeapi/forcetrigger?t=a1ndww&amp;q=XNAS%3aAMD&amp;form=skydnc</v>
    <v>Learn more on Bing</v>
  </rv>
  <rv s="5">
    <v>en-CA</v>
    <v>a1ndww</v>
    <v>268435456</v>
    <v>1</v>
    <v>Powered by Refinitiv</v>
    <v>7</v>
    <v>ADVANCED MICRO DEVICES, INC. (XNAS:AMD)</v>
    <v>8</v>
    <v>9</v>
    <v>Finance</v>
    <v>5</v>
    <v>187.28</v>
    <v>76.48</v>
    <v>1.9959</v>
    <v>-0.4</v>
    <v>-1.8130000000000002E-4</v>
    <v>-3.6129999999999999E-3</v>
    <v>-0.02</v>
    <v>USD</v>
    <v>Advanced Micro Devices, Inc. is a global semiconductor company. It is focused on high-performance computing, graphics and visualization technologies. It operates in four segments. The Data Center segment includes artificial intelligence (AI) accelerators, server central processing units (CPUs), graphics processing units (GPUs), accelerated processing units (APUs), data processing units (DPUs), field programmable gate arrays (FPGAs), smart network interface cards (SmartNICs), and Adaptive system-on-chip (SoC) products for data centers. The Client segment primarily includes CPUs, APUs, and chipsets for desktops and notebooks. The Gaming segment primarily includes discrete GPUs, semi-custom SoC products and development services. The Embedded segment includes embedded CPUs, GPUs, APUs, FPGAs, system on modules (SOMs), and Adaptive SoC products. It markets and sells its products under the AMD trademark. Its products include AMD EPYC, AMD Ryzen, AMD Ryzen PRO, Virtex UltraScale+ and others.</v>
    <v>28000</v>
    <v>Nasdaq Stock Market</v>
    <v>XNAS</v>
    <v>XNAS</v>
    <v>2485 Augustine Drive, SANTA CLARA, CA, 95054 US</v>
    <v>111.015</v>
    <v>Semiconductors &amp; Semiconductor Equipment</v>
    <v>Stock</v>
    <v>45800.999970798439</v>
    <v>1207</v>
    <v>107.6671</v>
    <v>178857100000</v>
    <v>ADVANCED MICRO DEVICES, INC.</v>
    <v>ADVANCED MICRO DEVICES, INC.</v>
    <v>108.08499999999999</v>
    <v>81.155600000000007</v>
    <v>110.71</v>
    <v>110.31</v>
    <v>110.29</v>
    <v>1621404000</v>
    <v>AMD</v>
    <v>ADVANCED MICRO DEVICES, INC. (XNAS:AMD)</v>
    <v>30867274</v>
    <v>41425306</v>
    <v>1969</v>
  </rv>
  <rv s="4">
    <v>1208</v>
  </rv>
  <rv s="0">
    <v>https://www.bing.com/financeapi/forcetrigger?t=a1nda2&amp;q=XNAS%3aAMAT&amp;form=skydnc</v>
    <v>Learn more on Bing</v>
  </rv>
  <rv s="5">
    <v>en-CA</v>
    <v>a1nda2</v>
    <v>268435456</v>
    <v>1</v>
    <v>Powered by Refinitiv</v>
    <v>7</v>
    <v>APPLIED MATERIALS, INC. (XNAS:AMAT)</v>
    <v>8</v>
    <v>9</v>
    <v>Finance</v>
    <v>5</v>
    <v>255.89</v>
    <v>123.73650000000001</v>
    <v>1.6845000000000001</v>
    <v>-3.01</v>
    <v>-1.8089999999999998E-4</v>
    <v>-1.8752000000000001E-2</v>
    <v>-2.8500000000000001E-2</v>
    <v>USD</v>
    <v>Applied Materials, Inc. is a materials engineering solution company. The Company provides equipment, services and software to the semiconductor, display, and related industries. It operates in three segments: Semiconductor Systems, Applied Global Services (AGS), and Display. The Semiconductor systems segment designs, develops, manufactures and sells a range of primarily 300 mm equipment used to fabricate semiconductor chips, also referred to as integrated circuits (ICs). The AGS segment provides services, spares and factory automation software to customer fabrication plants globally. The AGS segment also manufactures and sells 200mm and other equipment. The Display segment is comprised primarily of products for manufacturing liquid crystal displays (LCDs), organic light-emitting diodes (OLEDs), and other display technologies for televisions, monitors, laptops, personal computers (PCs), tablets, smartphones, and other consumer-oriented devices.</v>
    <v>36000</v>
    <v>Nasdaq Stock Market</v>
    <v>XNAS</v>
    <v>XNAS</v>
    <v>3050 Bowers Avenue, P.O. Box 58039, SANTA CLARA, CA, 95054-3299 US</v>
    <v>158.41</v>
    <v>Semiconductors &amp; Semiconductor Equipment</v>
    <v>Stock</v>
    <v>45800.999170867966</v>
    <v>1210</v>
    <v>155.66</v>
    <v>126401500000</v>
    <v>APPLIED MATERIALS, INC.</v>
    <v>APPLIED MATERIALS, INC.</v>
    <v>156.63499999999999</v>
    <v>19.555299999999999</v>
    <v>160.52000000000001</v>
    <v>157.51</v>
    <v>157.48150000000001</v>
    <v>802498200</v>
    <v>AMAT</v>
    <v>APPLIED MATERIALS, INC. (XNAS:AMAT)</v>
    <v>5733447</v>
    <v>7084530</v>
    <v>1987</v>
  </rv>
  <rv s="4">
    <v>1211</v>
  </rv>
  <rv s="0">
    <v>https://www.bing.com/financeapi/forcetrigger?t=a1mvjc&amp;q=XNAS%3aADI&amp;form=skydnc</v>
    <v>Learn more on Bing</v>
  </rv>
  <rv s="5">
    <v>en-CA</v>
    <v>a1mvjc</v>
    <v>268435456</v>
    <v>1</v>
    <v>Powered by Refinitiv</v>
    <v>7</v>
    <v>ANALOG DEVICES, INC. (XNAS:ADI)</v>
    <v>8</v>
    <v>9</v>
    <v>Finance</v>
    <v>5</v>
    <v>247.1</v>
    <v>158.65</v>
    <v>0.99790000000000001</v>
    <v>-1.46</v>
    <v>-4.561E-3</v>
    <v>-6.8889999999999993E-3</v>
    <v>-0.96</v>
    <v>USD</v>
    <v>Analog Devices, Inc. is a global semiconductor company. The Company designs, manufactures, tests, and markets a portfolio of solutions, including integrated circuits (ICs), software and subsystems that leverage high-performance analog, mixed-signal and digital signal processing technologies. Its comprehensive product portfolio, domain specialization and manufacturing capabilities extend across high-performance precision and high-speed mixed-signal, power management and processing technologies, including data converters, amplifiers, power management, radio frequency (RF) ICs, edge processors and other sensors. The Company's IC product portfolio includes both general-purpose products used by a range of customers and applications, as well as application-specific products designed for specific target markets. Its analog ICs monitor, condition, amplify or transform continuous analog signals associated with physical properties, such as temperature, pressure, weight, light, sound or motion.</v>
    <v>24000</v>
    <v>Nasdaq Stock Market</v>
    <v>XNAS</v>
    <v>XNAS</v>
    <v>One Analog Way, WILMINGTON, MA, 01887 US</v>
    <v>211.04</v>
    <v>Semiconductors &amp; Semiconductor Equipment</v>
    <v>Stock</v>
    <v>45800.986905022655</v>
    <v>1213</v>
    <v>206</v>
    <v>104445400000</v>
    <v>ANALOG DEVICES, INC.</v>
    <v>ANALOG DEVICES, INC.</v>
    <v>208.98</v>
    <v>57.819899999999997</v>
    <v>211.93</v>
    <v>210.47</v>
    <v>209.51</v>
    <v>496248200</v>
    <v>ADI</v>
    <v>ANALOG DEVICES, INC. (XNAS:ADI)</v>
    <v>4848159</v>
    <v>4001495</v>
    <v>1965</v>
  </rv>
  <rv s="4">
    <v>1214</v>
  </rv>
  <rv s="0">
    <v>https://www.bing.com/financeapi/forcetrigger?t=a1y4oc&amp;q=XNAS%3aMU&amp;form=skydnc</v>
    <v>Learn more on Bing</v>
  </rv>
  <rv s="5">
    <v>en-CA</v>
    <v>a1y4oc</v>
    <v>268435456</v>
    <v>1</v>
    <v>Powered by Refinitiv</v>
    <v>7</v>
    <v>MICRON TECHNOLOGY, INC. (XNAS:MU)</v>
    <v>8</v>
    <v>9</v>
    <v>Finance</v>
    <v>5</v>
    <v>157.535</v>
    <v>61.54</v>
    <v>1.2636000000000001</v>
    <v>-1.46</v>
    <v>-2.0349999999999999E-3</v>
    <v>-1.5396E-2</v>
    <v>-0.19</v>
    <v>USD</v>
    <v>Micron Technology, Inc. provides memory and storage solutions. The Company delivers a portfolio of high-performance dynamic random-access memory (DRAM), NAND, and NOR memory and storage products through its Micron and Crucial brands. The Company's products enable advancing in artificial intelligence (AI) and compute-intensive applications. Its segments include Compute and Networking Business Unit (CNBU), Mobile Business Unit (MBU), Embedded Business Unit (EBU), and Storage Business Unit (SBU). CNBU segment includes memory products and solutions sold into the data center, PC, graphics, and networking markets. MBU segment includes memory and storage products sold into the smartphone and other mobile-device markets. EBU segment includes memory and storage products and solutions sold into the intelligent edge through the automotive, industrial, and consumer embedded markets. SBU segment includes SSDs and component-level storage solutions sold into the data center, PC, and consumer markets.</v>
    <v>48000</v>
    <v>Nasdaq Stock Market</v>
    <v>XNAS</v>
    <v>XNAS</v>
    <v>PO BOX 6, 8000 S FEDERAL WAY, BOISE, ID, 83716-9632 US</v>
    <v>93.84</v>
    <v>Semiconductors &amp; Semiconductor Equipment</v>
    <v>Stock</v>
    <v>45800.999775948439</v>
    <v>1216</v>
    <v>90.93</v>
    <v>104347700000</v>
    <v>MICRON TECHNOLOGY, INC.</v>
    <v>MICRON TECHNOLOGY, INC.</v>
    <v>92.26</v>
    <v>22.924700000000001</v>
    <v>94.83</v>
    <v>93.37</v>
    <v>93.18</v>
    <v>1117572000</v>
    <v>MU</v>
    <v>MICRON TECHNOLOGY, INC. (XNAS:MU)</v>
    <v>16544976</v>
    <v>19057502</v>
    <v>1984</v>
  </rv>
  <rv s="4">
    <v>1217</v>
  </rv>
  <rv s="0">
    <v>https://www.bing.com/financeapi/forcetrigger?t=a1x4f2&amp;q=XNAS%3aLRCX&amp;form=skydnc</v>
    <v>Learn more on Bing</v>
  </rv>
  <rv s="5">
    <v>en-CA</v>
    <v>a1x4f2</v>
    <v>268435456</v>
    <v>1</v>
    <v>Powered by Refinitiv</v>
    <v>7</v>
    <v>LAM RESEARCH CORPORATION (XNAS:LRCX)</v>
    <v>8</v>
    <v>9</v>
    <v>Finance</v>
    <v>5</v>
    <v>113</v>
    <v>56.32</v>
    <v>1.6678999999999999</v>
    <v>-1.5</v>
    <v>0</v>
    <v>-1.8169000000000001E-2</v>
    <v>0</v>
    <v>USD</v>
    <v>Lam Research Corporation is a global supplier of wafer fabrication equipment and services to the semiconductor industry. The Company designs, manufactures, markets, refurbishes, and services semiconductor processing equipment used in the fabrication of integrated circuits. Its products and services are designed to help its customers build devices that are used in a variety of electronic products, including mobile phones, personal computers, servers, wearables, automotive vehicles, and data storage devices. Its product families include ALTUS, SABRE, SPEED, Striker, VECTOR, Flex, Vantex, Kiyo, Versys Metal, Syndion, Coronus, and DV-Prime, Da Vinci, EOS, and SP Series. Its customer base includes semiconductor memory, foundries, and integrated device manufacturers that make products such as non-volatile memory, dynamic random-access memory, and logic devices. It offers services in areas, such as nanoscale applications enablement, chemistry, plasma and fluidics, and others.</v>
    <v>17450</v>
    <v>Nasdaq Stock Market</v>
    <v>XNAS</v>
    <v>XNAS</v>
    <v>4650 Cushing Blvd, FREMONT, CA, 94538 US</v>
    <v>81.385000000000005</v>
    <v>Semiconductors &amp; Semiconductor Equipment</v>
    <v>Stock</v>
    <v>45800.999722904686</v>
    <v>1219</v>
    <v>79.775000000000006</v>
    <v>103685300000</v>
    <v>LAM RESEARCH CORPORATION</v>
    <v>LAM RESEARCH CORPORATION</v>
    <v>80.12</v>
    <v>29.287700000000001</v>
    <v>82.56</v>
    <v>81.06</v>
    <v>81.06</v>
    <v>1279118000</v>
    <v>LRCX</v>
    <v>LAM RESEARCH CORPORATION (XNAS:LRCX)</v>
    <v>8276670</v>
    <v>10867626</v>
    <v>1989</v>
  </rv>
  <rv s="4">
    <v>1220</v>
  </rv>
  <rv s="0">
    <v>https://www.bing.com/financeapi/forcetrigger?t=a1wjkr&amp;q=XNAS%3aKLAC&amp;form=skydnc</v>
    <v>Learn more on Bing</v>
  </rv>
  <rv s="5">
    <v>en-CA</v>
    <v>a1wjkr</v>
    <v>268435456</v>
    <v>1</v>
    <v>Powered by Refinitiv</v>
    <v>7</v>
    <v>KLA Corporation (XNAS:KLAC)</v>
    <v>8</v>
    <v>9</v>
    <v>Finance</v>
    <v>5</v>
    <v>896.32</v>
    <v>551.33000000000004</v>
    <v>1.3989</v>
    <v>-10.34</v>
    <v>-1.5449999999999999E-3</v>
    <v>-1.3472E-2</v>
    <v>-1.17</v>
    <v>USD</v>
    <v>KLA Corporation is a supplier of process control and yield management solutions and services for the semiconductor and related electronics industries. The Company offers a portfolio of inspection and metrology products, and related services, software and other offerings, supports research and development (R&amp;D) and manufacturing of integrated circuits (ICs), wafers and reticles. Its segments include Semiconductor Process Control, Specialty Semiconductor Process, and PCB and Component Inspection. Semiconductor Process Control segment provides comprehensive portfolio of inspection, metrology and software products, as well as related services, helping IC, wafer, reticle/mask and chemical/materials manufacturers achieve target yields throughout the entire fabrication process, from R&amp;D to final volume production. The Specialty Semiconductor Process segment develops and sells advanced vacuum deposition and etch process tools, which are used by a range of specialty semiconductor customers.</v>
    <v>15000</v>
    <v>Nasdaq Stock Market</v>
    <v>XNAS</v>
    <v>XNAS</v>
    <v>One Technology Drive, MILPITAS, CA, 95035 US</v>
    <v>761.1</v>
    <v>Semiconductors &amp; Semiconductor Equipment</v>
    <v>Stock</v>
    <v>45800.991803541408</v>
    <v>1222</v>
    <v>744.87</v>
    <v>100617900000</v>
    <v>KLA Corporation</v>
    <v>KLA Corporation</v>
    <v>747.75</v>
    <v>27.8994</v>
    <v>767.51</v>
    <v>757.17</v>
    <v>756</v>
    <v>132886700</v>
    <v>KLAC</v>
    <v>KLA Corporation (XNAS:KLAC)</v>
    <v>941948</v>
    <v>1107053</v>
    <v>1975</v>
  </rv>
  <rv s="4">
    <v>1223</v>
  </rv>
  <rv s="0">
    <v>https://www.bing.com/financeapi/forcetrigger?t=a1vmf2&amp;q=XNAS%3aINTC&amp;form=skydnc</v>
    <v>Learn more on Bing</v>
  </rv>
  <rv s="5">
    <v>en-CA</v>
    <v>a1vmf2</v>
    <v>268435456</v>
    <v>1</v>
    <v>Powered by Refinitiv</v>
    <v>7</v>
    <v>INTEL CORPORATION (XNAS:INTC)</v>
    <v>8</v>
    <v>9</v>
    <v>Finance</v>
    <v>5</v>
    <v>37.159999999999997</v>
    <v>17.664999999999999</v>
    <v>1.1322000000000001</v>
    <v>-0.5</v>
    <v>9.9750000000000012E-4</v>
    <v>-2.4331000000000002E-2</v>
    <v>0.02</v>
    <v>USD</v>
    <v>Intel Corporation is a global designer and manufacturer of semiconductor products. The Company operates through three segments: Intel Products, Intel Foundry, and All Other. Its Intel Products segment includes Client Computing Group (CCG), Data Center and AI (DCAI), Network and Edge (NEX). The CCG is bringing together the operating system, system architecture, hardware, and software application integration to enable PC experiences. DCAI delivers workload-optimized solutions to cloud service providers and enterprises, along with silicon devices for communications service providers, network and edge, and HPC customers. NEX helps networks and edge compute systems from fixed-function hardware to general-purpose compute, acceleration, and networking devices running cloud native software on programmable hardware. The Intel Foundry segment comprises technology development, manufacturing and foundry services. All Other segments include Altera, Mobileye, Other.</v>
    <v>108900</v>
    <v>Nasdaq Stock Market</v>
    <v>XNAS</v>
    <v>XNAS</v>
    <v>2200 Mission College Blvd, Rnb-4-151, SANTA CLARA, CA, 95054 US</v>
    <v>20.27</v>
    <v>Semiconductors &amp; Semiconductor Equipment</v>
    <v>Stock</v>
    <v>45800.999837731251</v>
    <v>1225</v>
    <v>19.940000000000001</v>
    <v>87458100000</v>
    <v>INTEL CORPORATION</v>
    <v>INTEL CORPORATION</v>
    <v>20.16</v>
    <v>0</v>
    <v>20.55</v>
    <v>20.05</v>
    <v>20.07</v>
    <v>4362000000</v>
    <v>INTC</v>
    <v>INTEL CORPORATION (XNAS:INTC)</v>
    <v>68206064</v>
    <v>74866512</v>
    <v>1989</v>
  </rv>
  <rv s="4">
    <v>1226</v>
  </rv>
  <rv s="0">
    <v>https://www.bing.com/financeapi/forcetrigger?t=a1yy2w&amp;q=XNAS%3aNXPI&amp;form=skydnc</v>
    <v>Learn more on Bing</v>
  </rv>
  <rv s="5">
    <v>en-CA</v>
    <v>a1yy2w</v>
    <v>268435456</v>
    <v>1</v>
    <v>Powered by Refinitiv</v>
    <v>7</v>
    <v>NXP Semiconductors NV (XNAS:NXPI)</v>
    <v>8</v>
    <v>9</v>
    <v>Finance</v>
    <v>5</v>
    <v>296.08</v>
    <v>148.09</v>
    <v>1.4128000000000001</v>
    <v>-4.3600000000000003</v>
    <v>-1.3790999999999999E-2</v>
    <v>-2.2187000000000002E-2</v>
    <v>-2.65</v>
    <v>USD</v>
    <v>NXP Semiconductors NV (NXP) is The Netherlands-based holding company. The Company operates as a semiconductor company. The Company provides high performance mixed signal analog-digital (mixed A/D) and standard product solutions. Its product solutions are used in a range of end-market applications, including automotive, personal security and identification, industrial &amp; Internet of Things (IoT), wireless and wireline infrastructure, mobile communications, multi-market industrial, consumer and computing. It engages with global original equipment manufacturers (OEMs). The Company sells products in all geographic regions and countries: China, USA, Japan, Malaysia, South Korea, Germany, The Netherlands, and others.</v>
    <v>33100</v>
    <v>Nasdaq Stock Market</v>
    <v>XNAS</v>
    <v>XNAS</v>
    <v>High Tech Campus 60, EINDHOVEN, NOORD-BRABANT, 5656AG NL</v>
    <v>194.1</v>
    <v>Semiconductors &amp; Semiconductor Equipment</v>
    <v>Stock</v>
    <v>45800.990960740623</v>
    <v>1228</v>
    <v>189.32</v>
    <v>48542610000</v>
    <v>NXP Semiconductors NV</v>
    <v>NXP Semiconductors NV</v>
    <v>189.91499999999999</v>
    <v>21.398599999999998</v>
    <v>196.51</v>
    <v>192.15</v>
    <v>189.5</v>
    <v>252628700</v>
    <v>NXPI</v>
    <v>NXP Semiconductors NV (XNAS:NXPI)</v>
    <v>3674264</v>
    <v>3115400</v>
    <v>2010</v>
  </rv>
  <rv s="4">
    <v>1229</v>
  </rv>
  <rv s="0">
    <v>https://www.bing.com/financeapi/forcetrigger?t=a1xdvh&amp;q=XNAS%3aMCHP&amp;form=skydnc</v>
    <v>Learn more on Bing</v>
  </rv>
  <rv s="5">
    <v>en-CA</v>
    <v>a1xdvh</v>
    <v>268435456</v>
    <v>1</v>
    <v>Powered by Refinitiv</v>
    <v>7</v>
    <v>MICROCHIP TECHNOLOGY INCORPORATED (XNAS:MCHP)</v>
    <v>8</v>
    <v>9</v>
    <v>Finance</v>
    <v>5</v>
    <v>100.565</v>
    <v>34.125</v>
    <v>1.4363999999999999</v>
    <v>-1.86</v>
    <v>-6.9410000000000001E-3</v>
    <v>-3.2041E-2</v>
    <v>-0.39</v>
    <v>USD</v>
    <v>Microchip Technology Incorporated develops, manufactures and sells smart, connected and secure embedded control solutions used by its customers for a variety of applications. The Company’s solutions serve approximately 123,000 customers across the industrial, automotive, consumer, aerospace and defense, communications and computing markets. The Company’s semiconductor products segment designs, develops, manufactures and markets mixed-signal microcontrollers, development tools and analog, interface, mixed-signal, timing, wired and wireless connectivity devices, and memory products. The Company also offers a comprehensive set of low-cost and easy-to-learn application development tools. Its manufacturing operations include wafer fabrication, wafer probe, assembly and test. The technology licensing segment includes sales and licensing of the Company's intellectual property. It markets and sells its products worldwide primarily through a network of direct sales personnel and distributors.</v>
    <v>22300</v>
    <v>Nasdaq Stock Market</v>
    <v>XNAS</v>
    <v>XNAS</v>
    <v>2355 W CHANDLER BLVD, CHANDLER, AZ, 85224-6199 US</v>
    <v>56.32</v>
    <v>Semiconductors &amp; Semiconductor Equipment</v>
    <v>Stock</v>
    <v>45800.988953957814</v>
    <v>1231</v>
    <v>54.54</v>
    <v>30220050000</v>
    <v>MICROCHIP TECHNOLOGY INCORPORATED</v>
    <v>MICROCHIP TECHNOLOGY INCORPORATED</v>
    <v>55.99</v>
    <v>0</v>
    <v>58.05</v>
    <v>56.19</v>
    <v>55.8</v>
    <v>537819000</v>
    <v>MCHP</v>
    <v>MICROCHIP TECHNOLOGY INCORPORATED (XNAS:MCHP)</v>
    <v>10093907</v>
    <v>10646249</v>
    <v>1989</v>
  </rv>
  <rv s="4">
    <v>1232</v>
  </rv>
  <rv s="0">
    <v>https://www.bing.com/financeapi/forcetrigger?t=a1xwnm&amp;q=XNAS%3aMPWR&amp;form=skydnc</v>
    <v>Learn more on Bing</v>
  </rv>
  <rv s="5">
    <v>en-CA</v>
    <v>a1xwnm</v>
    <v>268435456</v>
    <v>1</v>
    <v>Powered by Refinitiv</v>
    <v>7</v>
    <v>MONOLITHIC POWER SYSTEMS, INC. (XNAS:MPWR)</v>
    <v>8</v>
    <v>9</v>
    <v>Finance</v>
    <v>5</v>
    <v>959.64</v>
    <v>438.86</v>
    <v>1.1972</v>
    <v>-10.02</v>
    <v>-2.96E-3</v>
    <v>-1.4905999999999999E-2</v>
    <v>-1.96</v>
    <v>USD</v>
    <v>Monolithic Power Systems, Inc. is a fabless company, which provides semiconductor-based power electronic solutions. The Company design and develop its products for the enterprise data, storage and computing, automotive, communications, consumer, and industrial end markets. Direct Current (DC) to DC, Alternating Current (AC) to DC, driver metal-oxide-semiconductor field-effect transistor, power management integrated circuit (IC), current limit switch and lighting control products. Its DC to DC ICs are used to convert and control voltages within a range of electronic systems, such as cloud-based central processing unit (CPU) servers, server artificial intelligence (AI) applications, storage applications, commercial notebooks, digital cockpit, power sources, home appliances, fourth generation (4G) and fifth generation (5G) infrastructure and satellite communications applications. The Company have sales offices in various locations in Asia, Europe and the United States.</v>
    <v>4017</v>
    <v>Nasdaq Stock Market</v>
    <v>XNAS</v>
    <v>XNAS</v>
    <v>5808 Lake Washington Blvd. Ne, KIRKLAND, WA, 98033 US</v>
    <v>668.10500000000002</v>
    <v>Semiconductors &amp; Semiconductor Equipment</v>
    <v>Stock</v>
    <v>45800.991433043753</v>
    <v>1234</v>
    <v>648.67999999999995</v>
    <v>31705180000</v>
    <v>MONOLITHIC POWER SYSTEMS, INC.</v>
    <v>MONOLITHIC POWER SYSTEMS, INC.</v>
    <v>649.99</v>
    <v>17.845400000000001</v>
    <v>672.2</v>
    <v>662.18</v>
    <v>660.22</v>
    <v>47880000</v>
    <v>MPWR</v>
    <v>MONOLITHIC POWER SYSTEMS, INC. (XNAS:MPWR)</v>
    <v>508537</v>
    <v>757824</v>
    <v>2004</v>
  </rv>
  <rv s="4">
    <v>1235</v>
  </rv>
  <rv s="0">
    <v>https://www.bing.com/financeapi/forcetrigger?t=a1z8jc&amp;q=XNAS%3aON&amp;form=skydnc</v>
    <v>Learn more on Bing</v>
  </rv>
  <rv s="5">
    <v>en-CA</v>
    <v>a1z8jc</v>
    <v>268435456</v>
    <v>1</v>
    <v>Powered by Refinitiv</v>
    <v>7</v>
    <v>ON SEMICONDUCTOR CORPORATION (XNAS:ON)</v>
    <v>8</v>
    <v>9</v>
    <v>Finance</v>
    <v>5</v>
    <v>80.08</v>
    <v>31.04</v>
    <v>1.3964000000000001</v>
    <v>-1.02</v>
    <v>-4.8460000000000002E-4</v>
    <v>-2.4119000000000002E-2</v>
    <v>-0.02</v>
    <v>USD</v>
    <v>ON Semiconductor Corporation operates under the onsemi brand. It provides intelligent power and intelligent sensing solutions. Its segments include the Power Solutions Group (PSG), the Analog &amp; Mixed-Signal Group (AMG), and the Intelligent Sensing Group (ISG). PSG offers an array of discrete, module and integrated semiconductor products that perform multiple application functions, including power switching, signal conditioning, and circuit protection. AMG designs and develops analog, mixed-signal, Power Management ICs, Sensor Interface devices, Power Conversion, Signal Chain, and Voltage Regulation devices for a broad base of end-users in the automotive, industrial, computing and mobile end-markets. ISG designs and develops CMOS image sensors, image signal processors, single photon detectors, including SiPM, SPAD arrays and short-wavelength infrared products, as well as actuator drivers for autofocus and image stabilization for a broad base of end-users in the different end-markets.</v>
    <v>26400</v>
    <v>Nasdaq Stock Market</v>
    <v>XNAS</v>
    <v>XNAS</v>
    <v>5701 NORTH PIMA ROAD, SCOTTSDALE, AZ, 85250 US</v>
    <v>41.52</v>
    <v>Semiconductors &amp; Semiconductor Equipment</v>
    <v>Stock</v>
    <v>45800.999570092186</v>
    <v>1237</v>
    <v>40.619999999999997</v>
    <v>17246130000</v>
    <v>ON SEMICONDUCTOR CORPORATION</v>
    <v>ON SEMICONDUCTOR CORPORATION</v>
    <v>40.659999999999997</v>
    <v>29.3249</v>
    <v>42.29</v>
    <v>41.27</v>
    <v>41.25</v>
    <v>417885300</v>
    <v>ON</v>
    <v>ON SEMICONDUCTOR CORPORATION (XNAS:ON)</v>
    <v>9857318</v>
    <v>9923959</v>
    <v>2000</v>
  </rv>
  <rv s="4">
    <v>1238</v>
  </rv>
  <rv s="0">
    <v>https://www.bing.com/financeapi/forcetrigger?t=a244ur&amp;q=XNAS%3aTER&amp;form=skydnc</v>
    <v>Learn more on Bing</v>
  </rv>
  <rv s="5">
    <v>en-CA</v>
    <v>a244ur</v>
    <v>268435456</v>
    <v>1</v>
    <v>Powered by Refinitiv</v>
    <v>7</v>
    <v>TERADYNE, INC. (XNAS:TER)</v>
    <v>8</v>
    <v>9</v>
    <v>Finance</v>
    <v>5</v>
    <v>163.20500000000001</v>
    <v>65.77</v>
    <v>1.6930000000000001</v>
    <v>-1.51</v>
    <v>-4.1570000000000001E-3</v>
    <v>-1.9237999999999998E-2</v>
    <v>-0.32</v>
    <v>USD</v>
    <v>Teradyne, Inc. is a global supplier of automated test equipment and robotics solutions. The Company designs, develops, manufactures and sells automated test systems and robotics products. The Company’s segment includes Semiconductor Test and Robotics. The Semiconductor Test segment includes operations related to the design, manufacturing and marketing of semiconductor test products and services inclusive of storage and system level test products. The Robotics segment includes operations related to the design, manufacturing and marketing of collaborative robotic arms and autonomous mobile robots. Its offerings also include defense/aerospace test instrumentation and systems, circuit-board test and inspection (production board test) systems, and wireless test systems. Its advanced robotics business includes collaborative robots and mobile robots that support manufacturing and warehouse operations for companies of all sizes.</v>
    <v>6500</v>
    <v>Nasdaq Stock Market</v>
    <v>XNAS</v>
    <v>XNAS</v>
    <v>600 Riverpark Dr, NORTH READING, MA, 01864-2634 US</v>
    <v>77.459999999999994</v>
    <v>Semiconductors &amp; Semiconductor Equipment</v>
    <v>Stock</v>
    <v>45800.998973367969</v>
    <v>1240</v>
    <v>75.989999999999995</v>
    <v>12349150000</v>
    <v>TERADYNE, INC.</v>
    <v>TERADYNE, INC.</v>
    <v>76.694999999999993</v>
    <v>22.2166</v>
    <v>78.489999999999995</v>
    <v>76.98</v>
    <v>76.66</v>
    <v>160420300</v>
    <v>TER</v>
    <v>TERADYNE, INC. (XNAS:TER)</v>
    <v>1813539</v>
    <v>2989400</v>
    <v>1960</v>
  </rv>
  <rv s="4">
    <v>1241</v>
  </rv>
  <rv s="0">
    <v>https://www.bing.com/financeapi/forcetrigger?t=a23tz2&amp;q=XNAS%3aSWKS&amp;form=skydnc</v>
    <v>Learn more on Bing</v>
  </rv>
  <rv s="5">
    <v>en-CA</v>
    <v>a23tz2</v>
    <v>268435456</v>
    <v>1</v>
    <v>Powered by Refinitiv</v>
    <v>7</v>
    <v>SKYWORKS SOLUTIONS, INC. (XNAS:SWKS)</v>
    <v>8</v>
    <v>9</v>
    <v>Finance</v>
    <v>5</v>
    <v>120.86</v>
    <v>47.93</v>
    <v>1.1620999999999999</v>
    <v>-0.97</v>
    <v>3.0259999999999996E-3</v>
    <v>-1.3786E-2</v>
    <v>0.21</v>
    <v>USD</v>
    <v>Skyworks Solutions, Inc. provides wireless networking services. The Company’s analog and mixed-signal semiconductors are connecting people, places, and things, spanning a number of new applications within the aerospace, automotive, broadband, cellular infrastructure, connected home, defense, entertainment and gaming, industrial, medical, smartphone, tablet, and wearable markets. It operates engineering, manufacturing, sales, and service facilities throughout Asia, Europe, and North America. The Company offers a range of products, such as Amplifiers, Attenuators, Diodes, Audio And Radio, Clocks And Timing, Front-End Modules, Isolation, Modems And DAAs, Optocouplers, Power Management, Power Over Ethernet, RF Passives, Television (TV) And Video, Switches, and Voice. Its engineering, marketing, operations, sales, and support facilities are located throughout Asia, Europe, and North America.</v>
    <v>10100</v>
    <v>Nasdaq Stock Market</v>
    <v>XNAS</v>
    <v>XNAS</v>
    <v>5260 California Avenue, IRVINE, CA, 92617 US</v>
    <v>70.093000000000004</v>
    <v>Semiconductors &amp; Semiconductor Equipment</v>
    <v>Stock</v>
    <v>45800.998593193748</v>
    <v>1243</v>
    <v>67.239999999999995</v>
    <v>10417460000</v>
    <v>SKYWORKS SOLUTIONS, INC.</v>
    <v>SKYWORKS SOLUTIONS, INC.</v>
    <v>67.86</v>
    <v>27.491599999999998</v>
    <v>70.36</v>
    <v>69.39</v>
    <v>69.599999999999994</v>
    <v>150129200</v>
    <v>SWKS</v>
    <v>SKYWORKS SOLUTIONS, INC. (XNAS:SWKS)</v>
    <v>3902241</v>
    <v>3509276</v>
    <v>2002</v>
  </rv>
  <rv s="4">
    <v>1244</v>
  </rv>
  <rv s="0">
    <v>https://www.bing.com/financeapi/forcetrigger?t=a1slm7&amp;q=XNAS%3aMETA&amp;form=skydnc</v>
    <v>Learn more on Bing</v>
  </rv>
  <rv s="5">
    <v>en-CA</v>
    <v>a1slm7</v>
    <v>268435456</v>
    <v>1</v>
    <v>Powered by Refinitiv</v>
    <v>7</v>
    <v>Meta Platforms, Inc. (XNAS:META)</v>
    <v>8</v>
    <v>9</v>
    <v>Finance</v>
    <v>5</v>
    <v>740.91</v>
    <v>442.65</v>
    <v>1.2471000000000001</v>
    <v>-9.51</v>
    <v>-2.0969999999999999E-3</v>
    <v>-1.4939000000000001E-2</v>
    <v>-1.3149999999999999</v>
    <v>USD</v>
    <v>Meta Platforms, Inc. builds technology that helps people connect and share, find communities, and grow businesses. The Company’s products enable people to connect and share with friends and family through mobile devices, personal computers, virtual reality (VR) and mixed reality (MR) headsets, and wearables. It operates through two segments: Family of Apps (FoA) and Reality Labs (RL). The FoA segment includes Facebook, Instagram, Messenger, Threads and WhatsApp. The RL includes augmented, mixed and virtual reality related consumer hardware, software, and content. Instagram is a place where people and creators can connect and express themselves through photos, video, and private messaging, and discover and shop from their favorite businesses. Threads is an application for text-based updates and public conversations. Its RL product offerings in VR include Meta Quest devices, and software and content available through the Meta Horizon Store, which enable a range of social experiences.</v>
    <v>76834</v>
    <v>Nasdaq Stock Market</v>
    <v>XNAS</v>
    <v>XNAS</v>
    <v>1 Meta Way, MENLO PARK, CA, 94025 US</v>
    <v>632.44500000000005</v>
    <v>Software &amp; IT Services</v>
    <v>Stock</v>
    <v>45800.999972267971</v>
    <v>1246</v>
    <v>622.65</v>
    <v>1576634000000</v>
    <v>Meta Platforms, Inc.</v>
    <v>Meta Platforms, Inc.</v>
    <v>624</v>
    <v>24.340900000000001</v>
    <v>636.57000000000005</v>
    <v>627.05999999999995</v>
    <v>625.745</v>
    <v>2514327000</v>
    <v>META</v>
    <v>Meta Platforms, Inc. (XNAS:META)</v>
    <v>8454067</v>
    <v>15758849</v>
    <v>2004</v>
  </rv>
  <rv s="4">
    <v>1247</v>
  </rv>
  <rv s="0">
    <v>https://www.bing.com/financeapi/forcetrigger?t=a1ygoc&amp;q=XNAS%3aNFLX&amp;form=skydnc</v>
    <v>Learn more on Bing</v>
  </rv>
  <rv s="5">
    <v>en-CA</v>
    <v>a1ygoc</v>
    <v>268435456</v>
    <v>1</v>
    <v>Powered by Refinitiv</v>
    <v>7</v>
    <v>NETFLIX, INC. (XNAS:NFLX)</v>
    <v>8</v>
    <v>9</v>
    <v>Finance</v>
    <v>5</v>
    <v>1211.2199000000001</v>
    <v>587.04</v>
    <v>1.5994999999999999</v>
    <v>-2.58</v>
    <v>-8.7310000000000003E-4</v>
    <v>-2.1719999999999999E-3</v>
    <v>-1.0349999999999999</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1191.45</v>
    <v>Software &amp; IT Services</v>
    <v>Stock</v>
    <v>45800.999549617969</v>
    <v>1249</v>
    <v>1179.44</v>
    <v>504467900000</v>
    <v>NETFLIX, INC.</v>
    <v>NETFLIX, INC.</v>
    <v>1184</v>
    <v>56.132599999999996</v>
    <v>1187.97</v>
    <v>1185.3900000000001</v>
    <v>1184.355</v>
    <v>425571300</v>
    <v>NFLX</v>
    <v>NETFLIX, INC. (XNAS:NFLX)</v>
    <v>2186483</v>
    <v>4678683</v>
    <v>1997</v>
  </rv>
  <rv s="4">
    <v>1250</v>
  </rv>
  <rv s="0">
    <v>https://www.bing.com/financeapi/forcetrigger?t=a1qc1h&amp;q=XNYS%3aCRM&amp;form=skydnc</v>
    <v>Learn more on Bing</v>
  </rv>
  <rv s="5">
    <v>en-CA</v>
    <v>a1qc1h</v>
    <v>268435456</v>
    <v>1</v>
    <v>Powered by Refinitiv</v>
    <v>7</v>
    <v>SALESFORCE, INC. (XNYS:CRM)</v>
    <v>8</v>
    <v>9</v>
    <v>Finance</v>
    <v>5</v>
    <v>369</v>
    <v>212</v>
    <v>1.4066000000000001</v>
    <v>-10.29</v>
    <v>-5.1259999999999999E-4</v>
    <v>-3.6306999999999999E-2</v>
    <v>-0.14000000000000001</v>
    <v>USD</v>
    <v>Salesforce, Inc. is a provider of customer relationship management (CRM) technology. The Company helps organizations of any size reimagine their business for the world of artificial intelligence (AI). With Agentforce, its platform, organizations can bring humans together with agents to drive customer success powered by AI, data, and action. With the Salesforce platform, the Company delivers a single source of truth, connecting customer data with integrated AI across systems, apps and devices to help companies sell, service, market and conduct commerce from anywhere. Agentforce is a new layer of the Salesforce platform that enables companies to build and deploy AI agents that can respond to inputs, make decisions and take action autonomously across business functions. Agentforce includes a suite of customizable agents for use across sales, service, marketing and commerce. AgentExchange is the marketplace and community for Agentforce. AgentExchange includes more than 200 partners.</v>
    <v>76453</v>
    <v>New York Stock Exchange</v>
    <v>XNYS</v>
    <v>XNYS</v>
    <v>SALESFORCE TOWER, 415 MISSION STREET 3RD FL, SAN FRANCISCO, CA, 94105 US</v>
    <v>280.74</v>
    <v>Software &amp; IT Services</v>
    <v>Stock</v>
    <v>45800.999866411716</v>
    <v>1252</v>
    <v>271.64999999999998</v>
    <v>262061000000</v>
    <v>SALESFORCE, INC.</v>
    <v>SALESFORCE, INC.</v>
    <v>279</v>
    <v>44.5182</v>
    <v>283.42</v>
    <v>273.13</v>
    <v>272.99</v>
    <v>959473600</v>
    <v>CRM</v>
    <v>SALESFORCE, INC. (XNYS:CRM)</v>
    <v>8887815</v>
    <v>5481674</v>
    <v>1999</v>
  </rv>
  <rv s="4">
    <v>1253</v>
  </rv>
  <rv s="0">
    <v>http://pt.wikipedia.org/wiki/Oracle_Corporation</v>
    <v>Wikipedia</v>
  </rv>
  <rv s="1">
    <v>0</v>
    <v>1255</v>
  </rv>
  <rv s="2">
    <v>6</v>
    <v>https://www.bing.com/th?id=AMMS_672116c618c664d13b2515d6587ba357&amp;qlt=95</v>
    <v>1256</v>
    <v>0</v>
    <v>https://www.bing.com/images/search?form=xlimg&amp;q=oracle+corporation</v>
    <v>Image of ORACLE CORPORATION</v>
  </rv>
  <rv s="0">
    <v>https://www.bing.com/financeapi/forcetrigger?t=a1zbec&amp;q=XNYS%3aORCL&amp;form=skydnc</v>
    <v>Learn more on Bing</v>
  </rv>
  <rv s="3">
    <v>en-CA</v>
    <v>a1zbec</v>
    <v>268435456</v>
    <v>1</v>
    <v>Powered by Refinitiv</v>
    <v>0</v>
    <v>ORACLE CORPORATION (XNYS:ORCL)</v>
    <v>3</v>
    <v>4</v>
    <v>Finance</v>
    <v>5</v>
    <v>198.3099</v>
    <v>114.55</v>
    <v>1.3</v>
    <v>-1.34</v>
    <v>-1.09E-3</v>
    <v>-8.5179999999999995E-3</v>
    <v>-0.17</v>
    <v>USD</v>
    <v>Oracle Corporation offers integrated suites of applications plus secure, autonomous infrastructure in the Oracle Cloud. The Company's segments include cloud and license, hardware, and services. The cloud and license segment markets, sells and delivers a broad spectrum of enterprise applications and infrastructure technologies through its cloud and license offerings. The hardware segment provides a broad selection of enterprise hardware products and hardware-related software products including Oracle Engineered Systems, servers, storage, operating systems, virtualization, management and other hardware-related software and related hardware support. The services segment helps customers and partners maximize the performance of their investments in Oracle applications and infrastructure technologies. Its products and services are delivered worldwide through a variety of flexible and interoperable IT deployment models. These models include on-premise, cloud-based and hybrid deployments.</v>
    <v>159000</v>
    <v>New York Stock Exchange</v>
    <v>XNYS</v>
    <v>XNYS</v>
    <v>2300 Oracle Way, AUSTIN, TX, 78741 US</v>
    <v>157.375</v>
    <v>1257</v>
    <v>Software &amp; IT Services</v>
    <v>Stock</v>
    <v>45800.998206318749</v>
    <v>1258</v>
    <v>154.25720000000001</v>
    <v>437376400000</v>
    <v>ORACLE CORPORATION</v>
    <v>ORACLE CORPORATION</v>
    <v>154.99</v>
    <v>36.9499</v>
    <v>157.31</v>
    <v>155.97</v>
    <v>155.80000000000001</v>
    <v>2804234000</v>
    <v>ORCL</v>
    <v>ORACLE CORPORATION (XNYS:ORCL)</v>
    <v>6527516</v>
    <v>8138658</v>
    <v>2005</v>
  </rv>
  <rv s="4">
    <v>1259</v>
  </rv>
  <rv s="0">
    <v>https://www.bing.com/financeapi/forcetrigger?t=a1mthw&amp;q=XNYS%3aACN&amp;form=skydnc</v>
    <v>Learn more on Bing</v>
  </rv>
  <rv s="5">
    <v>en-CA</v>
    <v>a1mthw</v>
    <v>268435456</v>
    <v>1</v>
    <v>Powered by Refinitiv</v>
    <v>7</v>
    <v>ACCENTURE PUBLIC LIMITED COMPANY (XNYS:ACN)</v>
    <v>8</v>
    <v>9</v>
    <v>Finance</v>
    <v>5</v>
    <v>398.35</v>
    <v>275.00959999999998</v>
    <v>1.3320000000000001</v>
    <v>-6.87</v>
    <v>-2.3580000000000003E-3</v>
    <v>-2.1709999999999997E-2</v>
    <v>-0.73</v>
    <v>USD</v>
    <v>Accenture plc is a global professional services company. It is engaged in providing a range of services and solutions across strategy and consulting, technology, operations, Industry X and Song. Its services include application services, artificial intelligence, automation, business process outsourcing, business strategy, change management, cloud, customer experience, data and analytics, ecosystem partners, finance consulting, Industry X, infrastructure, marketing, mergers and acquisitions, operating models, security, supply chain management, sustainability, technology consulting, technology innovation, and zero-based budgeting (ZBB). It specializes in the SAP business technology platform that designs digital products and experiences for enterprise customers, including custom portals and Web solutions and mobile applications. It provides clients with quantitative and qualitative risk management and compliance services. It specializes in advisory, management services and cybersecurity.</v>
    <v>774000</v>
    <v>New York Stock Exchange</v>
    <v>XNYS</v>
    <v>XNYS</v>
    <v>1 Grand Canal Square, Grand Canal Harbour, Dublin 2, DUBLIN, DUBLIN IE</v>
    <v>311.72500000000002</v>
    <v>Software &amp; IT Services</v>
    <v>Stock</v>
    <v>45800.993085798436</v>
    <v>1261</v>
    <v>307.86500000000001</v>
    <v>193805100000</v>
    <v>ACCENTURE PUBLIC LIMITED COMPANY</v>
    <v>ACCENTURE PUBLIC LIMITED COMPANY</v>
    <v>311.11</v>
    <v>26.1218</v>
    <v>316.45</v>
    <v>309.58</v>
    <v>308.85000000000002</v>
    <v>626025800</v>
    <v>ACN</v>
    <v>ACCENTURE PUBLIC LIMITED COMPANY (XNYS:ACN)</v>
    <v>2947209</v>
    <v>2771548</v>
    <v>2009</v>
  </rv>
  <rv s="4">
    <v>1262</v>
  </rv>
  <rv s="0">
    <v>http://es.wikipedia.org/wiki/Adobe_(empresa)</v>
    <v>Wikipedia</v>
  </rv>
  <rv s="1">
    <v>0</v>
    <v>1264</v>
  </rv>
  <rv s="2">
    <v>6</v>
    <v>https://www.bing.com/th?id=AMMS_503c684ccc667ad525fe1d703881df2c&amp;qlt=95</v>
    <v>1265</v>
    <v>0</v>
    <v>https://www.bing.com/images/search?form=xlimg&amp;q=adobe+systems</v>
    <v>Image of ADOBE INC.</v>
  </rv>
  <rv s="0">
    <v>https://www.bing.com/financeapi/forcetrigger?t=a1mv7w&amp;q=XNAS%3aADBE&amp;form=skydnc</v>
    <v>Learn more on Bing</v>
  </rv>
  <rv s="3">
    <v>en-CA</v>
    <v>a1mv7w</v>
    <v>268435456</v>
    <v>1</v>
    <v>Powered by Refinitiv</v>
    <v>0</v>
    <v>ADOBE INC. (XNAS:ADBE)</v>
    <v>3</v>
    <v>4</v>
    <v>Finance</v>
    <v>5</v>
    <v>587.75</v>
    <v>332.01</v>
    <v>1.5495000000000001</v>
    <v>-6.64</v>
    <v>-1.6919999999999999E-3</v>
    <v>-1.6025999999999999E-2</v>
    <v>-0.69</v>
    <v>USD</v>
    <v>Adobe Inc. is a global technology company. The Company's products, services and solutions are used around the world to imagine, create, manage, deliver, measure, optimize and engage with content across surfaces and fuel digital experiences. Its segments include Digital Media, Digital Experience, and Publishing and Advertising. The Digital Media segment is centered around Adobe Creative Cloud and Adobe Document Cloud, which include Adobe Express, Adobe Firefly, Photoshop and other products, offering a variety of tools for creative professionals, communicators and other consumers. The Digital Experience segment provides an integrated platform and set of products, services and solutions through Adobe Experience Cloud. The Publishing and Advertising segment contains legacy products and services. In addition, its Adobe GenStudio solution allows businesses to simplify their content supply chain process with generative artificial intelligence (AI) capabilities and intelligent automation.</v>
    <v>30709</v>
    <v>Nasdaq Stock Market</v>
    <v>XNAS</v>
    <v>XNAS</v>
    <v>345 Park Avenue, SAN JOSE, CA, 95110-2704 US</v>
    <v>411.45</v>
    <v>1266</v>
    <v>Software &amp; IT Services</v>
    <v>Stock</v>
    <v>45800.999969062497</v>
    <v>1267</v>
    <v>407.15</v>
    <v>173757500000</v>
    <v>ADOBE INC.</v>
    <v>ADOBE INC.</v>
    <v>409.11</v>
    <v>27.308900000000001</v>
    <v>414.33</v>
    <v>407.69</v>
    <v>407</v>
    <v>426200000</v>
    <v>ADBE</v>
    <v>ADOBE INC. (XNAS:ADBE)</v>
    <v>2087674</v>
    <v>2985925</v>
    <v>1997</v>
  </rv>
  <rv s="4">
    <v>1268</v>
  </rv>
  <rv s="0">
    <v>https://www.bing.com/financeapi/forcetrigger?t=a1yoa2&amp;q=XNYS%3aNOW&amp;form=skydnc</v>
    <v>Learn more on Bing</v>
  </rv>
  <rv s="5">
    <v>en-CA</v>
    <v>a1yoa2</v>
    <v>268435456</v>
    <v>1</v>
    <v>Powered by Refinitiv</v>
    <v>7</v>
    <v>SERVICENOW, INC. (XNYS:NOW)</v>
    <v>8</v>
    <v>9</v>
    <v>Finance</v>
    <v>5</v>
    <v>1198.0899999999999</v>
    <v>637.99</v>
    <v>0.96120000000000005</v>
    <v>-11.4</v>
    <v>-3.1859999999999999E-4</v>
    <v>-1.1223E-2</v>
    <v>-0.32</v>
    <v>USD</v>
    <v>ServiceNow, Inc. provides an artificial intelligence (AI) platform for business transformation. The Company’s AI platform connects people, processes, data, and devices to increase productivity and maximize business outcomes. Its intelligent platform, the Now Platform, is a cloud-based solution that helps enterprises and organizations across public and private sectors digitize workflows. The workflow applications built on the Now Platform are organized in four primary areas: technology, customer and industry, employee and creator. Its technology workflows empower information technology (IT) departments to plan, build, operate and service the IT needs of the business enterprise. Its customer and industry workflows help organizations reimagine their customer experience. Its employee workflows help customers simplify how their employees access services they need. Its creator workflows enable customers to automate processes by creating their own custom workflows on the Now Platform.</v>
    <v>26293</v>
    <v>New York Stock Exchange</v>
    <v>XNYS</v>
    <v>XNYS</v>
    <v>2225 Lawson Lane, SANTA CLARA, CA, 95054 US</v>
    <v>1014.29</v>
    <v>Software &amp; IT Services</v>
    <v>Stock</v>
    <v>45800.995650798439</v>
    <v>1270</v>
    <v>994.59559999999999</v>
    <v>207887400000</v>
    <v>SERVICENOW, INC.</v>
    <v>SERVICENOW, INC.</v>
    <v>1000</v>
    <v>137.99950000000001</v>
    <v>1015.77</v>
    <v>1004.37</v>
    <v>1004.05</v>
    <v>206982900</v>
    <v>NOW</v>
    <v>SERVICENOW, INC. (XNYS:NOW)</v>
    <v>1388129</v>
    <v>1767360</v>
    <v>2012</v>
  </rv>
  <rv s="4">
    <v>1271</v>
  </rv>
  <rv s="0">
    <v>https://www.bing.com/financeapi/forcetrigger?t=bvsk7w&amp;q=XNYS%3aPLTR&amp;form=skydnc</v>
    <v>Learn more on Bing</v>
  </rv>
  <rv s="5">
    <v>en-CA</v>
    <v>bvsk7w</v>
    <v>268435456</v>
    <v>1</v>
    <v>Powered by Refinitiv</v>
    <v>7</v>
    <v>PALANTIR TECHNOLOGIES INC. (XNAS:PLTR)</v>
    <v>8</v>
    <v>9</v>
    <v>Finance</v>
    <v>5</v>
    <v>133.49</v>
    <v>20.63</v>
    <v>2.6501999999999999</v>
    <v>1.02</v>
    <v>2.555E-3</v>
    <v>8.3409999999999995E-3</v>
    <v>0.315</v>
    <v>USD</v>
    <v>Palantir Technologies Inc. is engaged in building software to assist in counterterrorism investigations and operations. The Company has built four principal software platforms, including Palantir Gotham (Gotham), Palantir Foundry (Foundry), Palantir Apollo (Apollo), and Palantir Artificial Intelligence Platform (AIP). Apollo is a cloud-agnostic, single control layer that coordinates ongoing delivery of new features, security updates, and platform configurations, helping to ensure the continuous operation of critical systems. Gotham enables users to identify patterns hidden deep within datasets, ranging from signals intelligence sources to reports from confidential informants. Foundry transforms the ways organizations operate by creating a central operating system for their data. AIP enables responsible artificial intelligence (AI)-advantage across the enterprise by using primary, core components built to effectively activate large language models and other AI within any organization.</v>
    <v>4001</v>
    <v>Nasdaq Stock Market</v>
    <v>XNAS</v>
    <v>XNAS</v>
    <v>1200 17Th Street, Floor 15, DENVER, CO, 80202 US</v>
    <v>125.54</v>
    <v>Software &amp; IT Services</v>
    <v>Stock</v>
    <v>45800.999941943752</v>
    <v>1273</v>
    <v>120.68</v>
    <v>291000800000</v>
    <v>PALANTIR TECHNOLOGIES INC.</v>
    <v>PALANTIR TECHNOLOGIES INC.</v>
    <v>120.88</v>
    <v>534.04079999999999</v>
    <v>122.29</v>
    <v>123.31</v>
    <v>123.625</v>
    <v>2359912000</v>
    <v>PLTR</v>
    <v>PALANTIR TECHNOLOGIES INC. (XNAS:PLTR)</v>
    <v>65905836</v>
    <v>98734542</v>
    <v>2003</v>
  </rv>
  <rv s="4">
    <v>1274</v>
  </rv>
  <rv s="0">
    <v>https://www.bing.com/financeapi/forcetrigger?t=bptw77&amp;q=XNYS%3aUBER&amp;form=skydnc</v>
    <v>Learn more on Bing</v>
  </rv>
  <rv s="5">
    <v>en-CA</v>
    <v>bptw77</v>
    <v>268435456</v>
    <v>1</v>
    <v>Powered by Refinitiv</v>
    <v>7</v>
    <v>UBER TECHNOLOGIES, INC. (XNYS:UBER)</v>
    <v>8</v>
    <v>9</v>
    <v>Finance</v>
    <v>5</v>
    <v>93.6</v>
    <v>54.84</v>
    <v>1.4027000000000001</v>
    <v>-0.25</v>
    <v>-1.1409999999999999E-3</v>
    <v>-2.8410000000000002E-3</v>
    <v>-0.10009999999999999</v>
    <v>USD</v>
    <v>Uber Technologies, Inc. operates a technology platform that uses network and technology to power movement from point A to point B. It develops and operates technology applications supporting a variety of offerings on its platform (platform(s)). Its segments include Mobility, Delivery and Freight. Mobility products connect consumers with drivers who provide rides in a variety of vehicles, such as cars, auto rickshaws, motorbikes, minibuses, or taxis. Delivery offerings allow consumers to search for and discover local restaurants, order a meal, and either pick-up at the restaurant or have the meal delivered. In certain markets, the Delivery segment provides offerings for grocery, alcohol, and convenience store delivery as well as select other goods. The Freight segment connects carriers with shippers on its platform, and gives carriers upfront, pricing and the ability to book a shipment. The Freight segment also includes transportation management and other logistics service offerings.</v>
    <v>31100</v>
    <v>New York Stock Exchange</v>
    <v>XNYS</v>
    <v>XNYS</v>
    <v>1725 3Rd Street, SAN FRANCISCO, CA, 94158 US</v>
    <v>88.49</v>
    <v>Software &amp; IT Services</v>
    <v>Stock</v>
    <v>45800.999731585158</v>
    <v>1276</v>
    <v>86.7</v>
    <v>183500000000</v>
    <v>UBER TECHNOLOGIES, INC.</v>
    <v>UBER TECHNOLOGIES, INC.</v>
    <v>87.204999999999998</v>
    <v>15.3476</v>
    <v>88</v>
    <v>87.75</v>
    <v>87.649900000000002</v>
    <v>2091168000</v>
    <v>UBER</v>
    <v>UBER TECHNOLOGIES, INC. (XNYS:UBER)</v>
    <v>17929659</v>
    <v>23495771</v>
    <v>2010</v>
  </rv>
  <rv s="4">
    <v>1277</v>
  </rv>
  <rv s="0">
    <v>https://www.bing.com/financeapi/forcetrigger?t=a1mw4c&amp;q=XNAS%3aADP&amp;form=skydnc</v>
    <v>Learn more on Bing</v>
  </rv>
  <rv s="5">
    <v>en-CA</v>
    <v>a1mw4c</v>
    <v>268435456</v>
    <v>1</v>
    <v>Powered by Refinitiv</v>
    <v>7</v>
    <v>AUTOMATIC DATA PROCESSING, INC. (XNAS:ADP)</v>
    <v>8</v>
    <v>9</v>
    <v>Finance</v>
    <v>5</v>
    <v>323.66000000000003</v>
    <v>231.27</v>
    <v>0.79320000000000002</v>
    <v>-0.56000000000000005</v>
    <v>-3.3950000000000004E-3</v>
    <v>-1.7410000000000001E-3</v>
    <v>-1.0900000000000001</v>
    <v>USD</v>
    <v>Automatic Data Processing, Inc. (ADP) is a global technology company engaged in providing cloud-based human capital management (HCM) solutions that unite HR, payroll, talent, time, tax and benefits administration. Its segments include Employer Services and Professional Employer Organization (PEO). Its Employer Services segment serves clients ranging from single-employee small businesses to large enterprises with tens of thousands of employees around the world, offering a range of technology-based HCM solutions, including its cloud-based platforms, and human resource outsourcing (HRO) solutions (other than PEO) solutions. Its offerings include Payroll Services, Benefits Administration, Talent Management, HR Management, Workforce Management, Compliance Services, Insurance Services and Retirement Services. Its PEO business, called ADP TotalSource, provides clients with employment administration outsourcing solutions. ADP serves over 1.1 million clients in 140 countries and territories.</v>
    <v>64000</v>
    <v>Nasdaq Stock Market</v>
    <v>XNAS</v>
    <v>XNAS</v>
    <v>One Adp Boulvard, ROSELAND, NJ, 07068 US</v>
    <v>321.83</v>
    <v>Software &amp; IT Services</v>
    <v>Stock</v>
    <v>45800.994771539059</v>
    <v>1279</v>
    <v>317.65499999999997</v>
    <v>130337700000</v>
    <v>AUTOMATIC DATA PROCESSING, INC.</v>
    <v>AUTOMATIC DATA PROCESSING, INC.</v>
    <v>319.07</v>
    <v>32.926299999999998</v>
    <v>321.64999999999998</v>
    <v>321.08999999999997</v>
    <v>320</v>
    <v>405922800</v>
    <v>ADP</v>
    <v>AUTOMATIC DATA PROCESSING, INC. (XNAS:ADP)</v>
    <v>962536</v>
    <v>1590340</v>
    <v>1961</v>
  </rv>
  <rv s="4">
    <v>1280</v>
  </rv>
  <rv s="0">
    <v>https://www.bing.com/financeapi/forcetrigger?t=a1zgm7&amp;q=XNAS%3aPANW&amp;form=skydnc</v>
    <v>Learn more on Bing</v>
  </rv>
  <rv s="5">
    <v>en-CA</v>
    <v>a1zgm7</v>
    <v>268435456</v>
    <v>1</v>
    <v>Powered by Refinitiv</v>
    <v>7</v>
    <v>PALO ALTO NETWORKS, INC. (XNAS:PANW)</v>
    <v>8</v>
    <v>9</v>
    <v>Finance</v>
    <v>5</v>
    <v>208.39</v>
    <v>142.01</v>
    <v>0.97440000000000004</v>
    <v>0.61</v>
    <v>-2.6770000000000001E-3</v>
    <v>3.277E-3</v>
    <v>-0.5</v>
    <v>USD</v>
    <v>Palo Alto Networks, Inc. is a global cybersecurity provider. Its cybersecurity platforms and services help secure enterprise users, networks, clouds and endpoints by delivering cybersecurity backed by artificial intelligence and automation. It focuses on delivering value in four areas: Network Security, Cloud Security, Security Operations and Threat Intelligence and Security Consulting. Its network security platform delivers complete zero trust solutions to its customers. It enables cloud-native security through its Prisma Cloud platform. Its Cloud Native Application Protection Platform (CNAPP), Prisma Cloud, secures multi-and hybrid-cloud environments for applications, data, generative AI (GenAI) ecosystem, and the entire cloud native technology stack across the full development lifecycle, from code to cloud. It delivers security operations capabilities that combine security analytics, endpoint security, automation and attack surface management solutions through its Cortex portfolio.</v>
    <v>15866</v>
    <v>Nasdaq Stock Market</v>
    <v>XNAS</v>
    <v>XNAS</v>
    <v>3000 Tannery Way, SANTA CLARA, CA, 95054 US</v>
    <v>187.65</v>
    <v>Software &amp; IT Services</v>
    <v>Stock</v>
    <v>45800.999822812497</v>
    <v>1282</v>
    <v>183.2201</v>
    <v>124524900000</v>
    <v>PALO ALTO NETWORKS, INC.</v>
    <v>PALO ALTO NETWORKS, INC.</v>
    <v>183.60499999999999</v>
    <v>106.5249</v>
    <v>186.14</v>
    <v>186.75</v>
    <v>186.25</v>
    <v>666800000</v>
    <v>PANW</v>
    <v>PALO ALTO NETWORKS, INC. (XNAS:PANW)</v>
    <v>4902866</v>
    <v>5297401</v>
    <v>2005</v>
  </rv>
  <rv s="4">
    <v>1283</v>
  </rv>
  <rv s="0">
    <v>https://www.bing.com/financeapi/forcetrigger?t=bq8rqh&amp;q=XNAS%3aCRWD&amp;form=skydnc</v>
    <v>Learn more on Bing</v>
  </rv>
  <rv s="5">
    <v>en-CA</v>
    <v>bq8rqh</v>
    <v>268435456</v>
    <v>1</v>
    <v>Powered by Refinitiv</v>
    <v>7</v>
    <v>CROWDSTRIKE HOLDINGS, INC. (XNAS:CRWD)</v>
    <v>8</v>
    <v>9</v>
    <v>Finance</v>
    <v>5</v>
    <v>459.93</v>
    <v>200.81</v>
    <v>1.1585000000000001</v>
    <v>11.52</v>
    <v>0</v>
    <v>2.5942E-2</v>
    <v>0</v>
    <v>USD</v>
    <v>CrowdStrike Holdings, Inc. is a global cybersecurity company that provides cloud-delivered protection of endpoints, cloud workloads, identity and data. Its Falcon platform is designed for cybersecurity consolidation, purpose-built to stop breaches. The platforms collect and integrate data from across the enterprise, including endpoints, cloud workloads, identities, and third-party sources. It offers 29 cloud modules on its Falcon platform via a software as a service (SaaS) subscription-based model that spans multiple large markets, including corporate endpoint and cloud workload security, managed security services, security and vulnerability management, information technology (IT) operations management, identity protection, next-generation security information and event management (SIEM) and log management, threat intelligence services, data protection, SaaS security posture management, automation and response (SOAR) and artificial intelligence powered workflow automation, and others.</v>
    <v>10118</v>
    <v>Nasdaq Stock Market</v>
    <v>XNAS</v>
    <v>XNAS</v>
    <v>206 E. 9TH STREET, SUITE 1400, AUSTIN, TX, 78701 US</v>
    <v>459.93</v>
    <v>Software &amp; IT Services</v>
    <v>Stock</v>
    <v>45800.999870103908</v>
    <v>1285</v>
    <v>437.4</v>
    <v>113475700000</v>
    <v>CROWDSTRIKE HOLDINGS, INC.</v>
    <v>CROWDSTRIKE HOLDINGS, INC.</v>
    <v>438.5</v>
    <v>0</v>
    <v>444.07</v>
    <v>455.59</v>
    <v>455.59</v>
    <v>249074100</v>
    <v>CRWD</v>
    <v>CROWDSTRIKE HOLDINGS, INC. (XNAS:CRWD)</v>
    <v>4487764</v>
    <v>3223721</v>
    <v>2011</v>
  </rv>
  <rv s="4">
    <v>1286</v>
  </rv>
  <rv s="0">
    <v>https://www.bing.com/financeapi/forcetrigger?t=a239hw&amp;q=XNAS%3aSNPS&amp;form=skydnc</v>
    <v>Learn more on Bing</v>
  </rv>
  <rv s="5">
    <v>en-CA</v>
    <v>a239hw</v>
    <v>268435456</v>
    <v>1</v>
    <v>Powered by Refinitiv</v>
    <v>7</v>
    <v>SYNOPSYS, INC. (XNAS:SNPS)</v>
    <v>8</v>
    <v>9</v>
    <v>Finance</v>
    <v>5</v>
    <v>624.80150000000003</v>
    <v>365.74</v>
    <v>1.1455</v>
    <v>-4.63</v>
    <v>-2.2049999999999999E-4</v>
    <v>-9.1959999999999993E-3</v>
    <v>-0.11</v>
    <v>USD</v>
    <v>Synopsys, Inc. is engaged in supplying the electronic design automation (EDA) software that engineers use to design and test integrated circuits, also known as chips or silicon. It is specializing in artificial intelligence driven chip design across the full-stack EDA suite to improve efficiency and accelerate the design, verification testing and manufacturing of advanced digital and analog chips. Its segments include Design Automation and Design IP. Design Automation segment includes its advanced silicon design, verification products and services and system integration products. This segment also includes digital, custom and field programmable gate array integrated circuit design software, verification software and hardware products, and manufacturing software products. Design IP segment includes its interface, foundation, security, and embedded processor IP, IP subsystems, and IP implementation services that serve companies primarily in the semiconductor and electronics industries.</v>
    <v>20000</v>
    <v>Nasdaq Stock Market</v>
    <v>XNAS</v>
    <v>XNAS</v>
    <v>675 Almanor Ave, SUNNYVALE, CA, 94085 US</v>
    <v>501.97</v>
    <v>Software &amp; IT Services</v>
    <v>Stock</v>
    <v>45800.999761145315</v>
    <v>1288</v>
    <v>493.72500000000002</v>
    <v>77132230000</v>
    <v>SYNOPSYS, INC.</v>
    <v>SYNOPSYS, INC.</v>
    <v>495.32</v>
    <v>60.448500000000003</v>
    <v>503.48</v>
    <v>498.85</v>
    <v>498.74</v>
    <v>154620100</v>
    <v>SNPS</v>
    <v>SYNOPSYS, INC. (XNAS:SNPS)</v>
    <v>670213</v>
    <v>979616</v>
    <v>1987</v>
  </rv>
  <rv s="4">
    <v>1289</v>
  </rv>
  <rv s="0">
    <v>https://www.bing.com/financeapi/forcetrigger?t=a1pejc&amp;q=XNAS%3aCDNS&amp;form=skydnc</v>
    <v>Learn more on Bing</v>
  </rv>
  <rv s="5">
    <v>en-CA</v>
    <v>a1pejc</v>
    <v>268435456</v>
    <v>1</v>
    <v>Powered by Refinitiv</v>
    <v>7</v>
    <v>CADENCE DESIGN SYSTEMS, INC. (XNAS:CDNS)</v>
    <v>8</v>
    <v>9</v>
    <v>Finance</v>
    <v>5</v>
    <v>328.99</v>
    <v>221.56010000000001</v>
    <v>1.0288999999999999</v>
    <v>-1.1200000000000001</v>
    <v>-7.607E-4</v>
    <v>-3.5370000000000002E-3</v>
    <v>-0.24</v>
    <v>USD</v>
    <v>Cadence Design Systems, Inc. is an electronic systems designing company. The Company applies its Intelligent System Design strategy to deliver software, hardware and intellectual property (IP) that turn design concepts into reality. Its product categories include Core Electronic Design Automation (EDA), Semiconductor IP, and System Design and Analysis (SD&amp;A). Core EDA includes software, hardware, and services used to design and verify a wide variety of semiconductors. The semiconductor IP portfolio includes silicon subsystems, software, and services that are used in semiconductor design. The SD&amp;A category includes the software and services used to design and verify a wide variety of physical electronic systems. Its semiconductors are used in various industries, including automotive, aerospace, biotech, hyperscale and cloud computing, data centers, telecommunications, medical technology, industrial Internet of things (IIoT), and artificial intelligence (AI).</v>
    <v>12837</v>
    <v>Nasdaq Stock Market</v>
    <v>XNAS</v>
    <v>XNAS</v>
    <v>2655 Seely Avenue Bldg 5, SAN JOSE, CA, 95134 US</v>
    <v>317.27999999999997</v>
    <v>Software &amp; IT Services</v>
    <v>Stock</v>
    <v>45800.98802262656</v>
    <v>1291</v>
    <v>311.64499999999998</v>
    <v>86147480000</v>
    <v>CADENCE DESIGN SYSTEMS, INC.</v>
    <v>CADENCE DESIGN SYSTEMS, INC.</v>
    <v>312.04000000000002</v>
    <v>80.191999999999993</v>
    <v>316.63</v>
    <v>315.51</v>
    <v>315.27</v>
    <v>273042000</v>
    <v>CDNS</v>
    <v>CADENCE DESIGN SYSTEMS, INC. (XNAS:CDNS)</v>
    <v>1010566</v>
    <v>1944386</v>
    <v>1987</v>
  </rv>
  <rv s="4">
    <v>1292</v>
  </rv>
  <rv s="0">
    <v>https://www.bing.com/financeapi/forcetrigger?t=a1tg3m&amp;q=XNAS%3aFTNT&amp;form=skydnc</v>
    <v>Learn more on Bing</v>
  </rv>
  <rv s="5">
    <v>en-CA</v>
    <v>a1tg3m</v>
    <v>268435456</v>
    <v>1</v>
    <v>Powered by Refinitiv</v>
    <v>7</v>
    <v>FORTINET, INC. (XNAS:FTNT)</v>
    <v>8</v>
    <v>9</v>
    <v>Finance</v>
    <v>5</v>
    <v>114.82</v>
    <v>54.57</v>
    <v>1.0927</v>
    <v>-0.46</v>
    <v>-3.4899999999999996E-3</v>
    <v>-4.4390000000000002E-3</v>
    <v>-0.36</v>
    <v>USD</v>
    <v>Fortinet, Inc. is engaged in cybersecurity, driving the convergence of networking and security. The Company’s integrated platform, Fortinet Security Fabric, spans secure networking, unified Secure Access Service Edge (SASE) and artificial intelligence (AI)-driven security operations (SecOps). Its products and services include FortiOS, FortiASIC, FortiCloud, FortiAI, FortiEndpoint, and OT Security. The FortiGuard Labs is a cybersecurity threat intelligence and research organization comprised of experienced threat hunters, researchers, analysts, engineers and data scientists who develop and utilize machine learning and AI technologies. FortiGuard and Other Security Services are a suite of AI-powered security capabilities that are integrated as part of the Fortinet Security Fabric to deliver coordinated detection and enforcement across the entire attack surface. FortiCare Technical Support Service is a per-device technical support service. It also operates Fortinet Training Institute.</v>
    <v>14556</v>
    <v>Nasdaq Stock Market</v>
    <v>XNAS</v>
    <v>XNAS</v>
    <v>909 Kifer Road, SUNNYVALE, CA, 94086 US</v>
    <v>103.53</v>
    <v>Software &amp; IT Services</v>
    <v>Stock</v>
    <v>45800.999937719535</v>
    <v>1294</v>
    <v>101.58</v>
    <v>78960360000</v>
    <v>FORTINET, INC.</v>
    <v>FORTINET, INC.</v>
    <v>102.16</v>
    <v>42.651299999999999</v>
    <v>103.62</v>
    <v>103.16</v>
    <v>102.8</v>
    <v>765416400</v>
    <v>FTNT</v>
    <v>FORTINET, INC. (XNAS:FTNT)</v>
    <v>3769215</v>
    <v>4877077</v>
    <v>2000</v>
  </rv>
  <rv s="4">
    <v>1295</v>
  </rv>
  <rv s="0">
    <v>https://www.bing.com/financeapi/forcetrigger?t=a22777&amp;q=XNYS%3aROP&amp;form=skydnc</v>
    <v>Learn more on Bing</v>
  </rv>
  <rv s="5">
    <v>en-CA</v>
    <v>a22777</v>
    <v>268435456</v>
    <v>1</v>
    <v>Powered by Refinitiv</v>
    <v>7</v>
    <v>ROPER TECHNOLOGIES, INC. (XNAS:ROP)</v>
    <v>8</v>
    <v>9</v>
    <v>Finance</v>
    <v>5</v>
    <v>595.16679999999997</v>
    <v>499.47</v>
    <v>1.0439000000000001</v>
    <v>-2.04</v>
    <v>-7.1069999999999996E-3</v>
    <v>-3.5849999999999996E-3</v>
    <v>-4.03</v>
    <v>USD</v>
    <v>Roper Technologies, Inc. is a diversified technology company. It operates businesses that design and develop vertical software and technology-enabled products for a variety of defensible niche markets. The Company operates through three segments: Application Software, Network Software and Technology Enabled Products. The Application Software segment includes Aderant, Clinisys, Data Innovations, Deltek, Frontline, IntelliTrans, PowerPlan, Procare, Strata, Transact/CBORD, and Vertafore. The Network Software segment includes ConstructConnect, DAT, Foundry, iPipeline, iTradeNetwork, Loadlink, MHA, SHP, and SoftWriters. The Technology Enabled Products segment includes CIVCO Medical Solutions, FMI, Inovonics, IPA, Neptune, Northern Digital, rf IDEAS, and Verathon. Aderant is a comprehensive management software solution for law and other professional services firms. Data Innovations is a software solution that enables the enterprise management of hospitals and independent laboratories.</v>
    <v>18200</v>
    <v>Nasdaq Stock Market</v>
    <v>XNAS</v>
    <v>XNAS</v>
    <v>6496 University Parkway, SARASOTA, FL, 34240 US</v>
    <v>569.73</v>
    <v>Software &amp; IT Services</v>
    <v>Stock</v>
    <v>45800.982841631252</v>
    <v>1297</v>
    <v>563.79999999999995</v>
    <v>60964460000</v>
    <v>ROPER TECHNOLOGIES, INC.</v>
    <v>ROPER TECHNOLOGIES, INC.</v>
    <v>564.42999999999995</v>
    <v>41.034300000000002</v>
    <v>569.07000000000005</v>
    <v>567.03</v>
    <v>563</v>
    <v>107515400</v>
    <v>ROP</v>
    <v>ROPER TECHNOLOGIES, INC. (XNAS:ROP)</v>
    <v>375130</v>
    <v>552677</v>
    <v>1981</v>
  </rv>
  <rv s="4">
    <v>1298</v>
  </rv>
  <rv s="0">
    <v>https://www.bing.com/financeapi/forcetrigger?t=bwvem7&amp;q=XNAS%3aABNB&amp;form=skydnc</v>
    <v>Learn more on Bing</v>
  </rv>
  <rv s="5">
    <v>en-CA</v>
    <v>bwvem7</v>
    <v>268435456</v>
    <v>1</v>
    <v>Powered by Refinitiv</v>
    <v>7</v>
    <v>AIRBNB, INC. (XNAS:ABNB)</v>
    <v>8</v>
    <v>9</v>
    <v>Finance</v>
    <v>5</v>
    <v>163.93</v>
    <v>99.88</v>
    <v>1.1456999999999999</v>
    <v>-0.93</v>
    <v>-1.5779999999999999E-4</v>
    <v>-7.2859999999999999E-3</v>
    <v>-0.02</v>
    <v>USD</v>
    <v>Airbnb, Inc. operates a global platform for stays and experiences. The Company’s marketplace model connects hosts and guests online or through mobile devices to book spaces and experiences around the world. The Company has built its platform to onboard new hosts, especially those who previously had not considered hosting. It partners with hosts throughout the process of setting up their listing and provides them with a suite of tools to manage their listings, including scheduling, merchandising, integrated payments, community support, host protection, pricing guidance, and feedback from reviews. Its Website and mobile applications provide its guests with a way to explore a variety of homes and experiences and an easy way to book them. Its technology platform powers its two-sided marketplace and enables its global network of hosts and guests. It owns a trademark portfolio with protection in 220 countries in which it operates for its primary brands, AIRBNB, and its Belo logo.</v>
    <v>7300</v>
    <v>Nasdaq Stock Market</v>
    <v>XNAS</v>
    <v>XNAS</v>
    <v>888 Brannan St., SAN FRANCISCO, CA, 94103 US</v>
    <v>127.375</v>
    <v>Software &amp; IT Services</v>
    <v>Stock</v>
    <v>45800.999104142968</v>
    <v>1300</v>
    <v>125</v>
    <v>78213200000</v>
    <v>AIRBNB, INC.</v>
    <v>AIRBNB, INC.</v>
    <v>125.09</v>
    <v>32.241399999999999</v>
    <v>127.65</v>
    <v>126.72</v>
    <v>126.7</v>
    <v>617212800</v>
    <v>ABNB</v>
    <v>AIRBNB, INC. (XNAS:ABNB)</v>
    <v>4371484</v>
    <v>5783245</v>
    <v>2008</v>
  </rv>
  <rv s="4">
    <v>1301</v>
  </rv>
  <rv s="0">
    <v>https://www.bing.com/financeapi/forcetrigger?t=a1mwoc&amp;q=XNAS%3aADSK&amp;form=skydnc</v>
    <v>Learn more on Bing</v>
  </rv>
  <rv s="5">
    <v>en-CA</v>
    <v>a1mwoc</v>
    <v>268435456</v>
    <v>1</v>
    <v>Powered by Refinitiv</v>
    <v>7</v>
    <v>AUTODESK, INC. (XNAS:ADSK)</v>
    <v>8</v>
    <v>9</v>
    <v>Finance</v>
    <v>5</v>
    <v>326.62</v>
    <v>195.32</v>
    <v>1.4611000000000001</v>
    <v>0.35</v>
    <v>-7.9569999999999988E-3</v>
    <v>1.186E-3</v>
    <v>-2.35</v>
    <v>USD</v>
    <v>Autodesk, Inc. is engaged in three-dimensional (3D) design, engineering and entertainment technology solutions, spanning architecture, engineering, construction, product design, manufacturing, media and entertainment. Its architecture, engineering, construction and operations products improve the way building, infrastructure, and industrial projects are designed, built, and operated. Its product development and manufacturing software provides manufacturers in the automotive, transportation, industrial machinery, consumer products, and building product industries with comprehensive digital design, engineering, manufacturing, and production solutions. Its product offerings include AutoCAD Civil 3D, Autodesk Build, BIM Collaborate Pro, Revit, Tandem, AutoCAD, AutoCAD LT, Inventor, Vault, Maya, and 3ds Max. AutoCAD Civil 3D solution offers a surveying, design, analysis, and documentation solution for civil engineering, including land development, transportation, and environmental projects.</v>
    <v>14100</v>
    <v>Nasdaq Stock Market</v>
    <v>XNAS</v>
    <v>XNAS</v>
    <v>One Market, Ste. 400., SAN FRANCISCO, CA, 94105 US</v>
    <v>304.8</v>
    <v>Software &amp; IT Services</v>
    <v>Stock</v>
    <v>45800.997677071093</v>
    <v>1303</v>
    <v>291.5301</v>
    <v>63188520000</v>
    <v>AUTODESK, INC.</v>
    <v>AUTODESK, INC.</v>
    <v>295</v>
    <v>63.2121</v>
    <v>295</v>
    <v>295.35000000000002</v>
    <v>293</v>
    <v>213944500</v>
    <v>ADSK</v>
    <v>AUTODESK, INC. (XNAS:ADSK)</v>
    <v>3197268</v>
    <v>1295919</v>
    <v>1994</v>
  </rv>
  <rv s="4">
    <v>1304</v>
  </rv>
  <rv s="0">
    <v>https://www.bing.com/financeapi/forcetrigger?t=a25rkr&amp;q=XNAS%3aWDAY&amp;form=skydnc</v>
    <v>Learn more on Bing</v>
  </rv>
  <rv s="5">
    <v>en-CA</v>
    <v>a25rkr</v>
    <v>268435456</v>
    <v>1</v>
    <v>Powered by Refinitiv</v>
    <v>7</v>
    <v>WORKDAY, INC. (XNAS:WDAY)</v>
    <v>8</v>
    <v>9</v>
    <v>Finance</v>
    <v>5</v>
    <v>294</v>
    <v>199.81</v>
    <v>1.2411000000000001</v>
    <v>-34.06</v>
    <v>-2.0590000000000001E-3</v>
    <v>-0.12518799999999999</v>
    <v>-0.49</v>
    <v>USD</v>
    <v>Workday, Inc. is a provider of an artificial intelligence (AI) platform that helps organizations to manage their people and money. The Company provides approximately 11,000 organizations with cloud solutions powered by AI to help solve business challenges, including supporting and empowering their workforce, managing their finances and spending in an ever-changing environment, and planning for the unexpected. It offers Financial Management, Spend Management, Human Capital Management (HCM), Planning, and Analytics applications. The Company sells its solutions worldwide primarily through direct sales. It also offers professional services, both directly and through its Workday Services Partners, to help customers deploy its solutions. It offers businesses flexible solutions to help them adapt to their industry-specific needs and respond to change. It serves various industries, including professional and business services, financial services, healthcare, education, government, and others.</v>
    <v>20400</v>
    <v>Nasdaq Stock Market</v>
    <v>XNAS</v>
    <v>XNAS</v>
    <v>6110 Stoneridge Mall Road, PLEASANTON, CA, 94588 US</v>
    <v>247.47</v>
    <v>Software &amp; IT Services</v>
    <v>Stock</v>
    <v>45800.99988760391</v>
    <v>1306</v>
    <v>237</v>
    <v>63663450000</v>
    <v>WORKDAY, INC.</v>
    <v>WORKDAY, INC.</v>
    <v>241.595</v>
    <v>150.339</v>
    <v>272.07</v>
    <v>238.01</v>
    <v>237.52</v>
    <v>267482300</v>
    <v>WDAY</v>
    <v>WORKDAY, INC. (XNAS:WDAY)</v>
    <v>9914999</v>
    <v>1606471</v>
    <v>2012</v>
  </rv>
  <rv s="4">
    <v>1307</v>
  </rv>
  <rv s="0">
    <v>https://www.bing.com/financeapi/forcetrigger?t=a1q8r7&amp;q=XNAS%3aCPRT&amp;form=skydnc</v>
    <v>Learn more on Bing</v>
  </rv>
  <rv s="5">
    <v>en-CA</v>
    <v>a1q8r7</v>
    <v>268435456</v>
    <v>1</v>
    <v>Powered by Refinitiv</v>
    <v>7</v>
    <v>COPART, INC. (XNAS:CPRT)</v>
    <v>8</v>
    <v>9</v>
    <v>Finance</v>
    <v>5</v>
    <v>64.38</v>
    <v>48.05</v>
    <v>1.1456</v>
    <v>-6.99</v>
    <v>-7.4529999999999996E-4</v>
    <v>-0.11523199999999999</v>
    <v>-0.04</v>
    <v>USD</v>
    <v>Copart, Inc. is a provider of online auctions and vehicle remarketing services. The Company provides vehicle sellers with a full range of services to process and sell vehicles over the internet through the Company’s Virtual Bidding Third Generation (VB3) internet auction-style sales technology. The Company sells principally to licensed vehicle dismantlers, rebuilders, repair licensees, used vehicle dealers, exporters, and directly to the general public. Vehicle sellers consist primarily of insurance companies, but also include dealers, individuals, charities, rental, banks, finance companies, and fleet operators. It operates more than 200 locations in 11 countries and has more than 175,000 vehicles up for auction every day. The Company operates in United States, the United Kingdom, Germany, Brazil, Canada, the United Arab Emirates, Spain, Finland, Oman, the Republic of Ireland, and Bahrain. It operates both as an agent and on a principal basis.</v>
    <v>11700</v>
    <v>Nasdaq Stock Market</v>
    <v>XNAS</v>
    <v>XNAS</v>
    <v>14185 Dallas Pkwy Ste 300, DALLAS, TX, 75254 US</v>
    <v>58.067999999999998</v>
    <v>Software &amp; IT Services</v>
    <v>Stock</v>
    <v>45800.999321272655</v>
    <v>1309</v>
    <v>53.33</v>
    <v>51850210000</v>
    <v>COPART, INC.</v>
    <v>COPART, INC.</v>
    <v>57.44</v>
    <v>40.092500000000001</v>
    <v>60.66</v>
    <v>53.67</v>
    <v>53.63</v>
    <v>966093000</v>
    <v>CPRT</v>
    <v>COPART, INC. (XNAS:CPRT)</v>
    <v>20812410</v>
    <v>4300898</v>
    <v>2012</v>
  </rv>
  <rv s="4">
    <v>1310</v>
  </rv>
  <rv s="0">
    <v>https://www.bing.com/financeapi/forcetrigger?t=a1svnm&amp;q=XNYS%3aFICO&amp;form=skydnc</v>
    <v>Learn more on Bing</v>
  </rv>
  <rv s="5">
    <v>en-CA</v>
    <v>a1svnm</v>
    <v>268435456</v>
    <v>1</v>
    <v>Powered by Refinitiv</v>
    <v>7</v>
    <v>FAIR ISAAC CORPORATION (XNYS:FICO)</v>
    <v>8</v>
    <v>9</v>
    <v>Finance</v>
    <v>5</v>
    <v>2402.5149999999999</v>
    <v>1266.72</v>
    <v>1.3269</v>
    <v>-5.96</v>
    <v>-2.1250000000000002E-4</v>
    <v>-3.5049999999999999E-3</v>
    <v>-0.36</v>
    <v>USD</v>
    <v>Fair Isaac Corporation is an applied analytics software company. The Company is focused on using predictive analytics and data science to improve operational decisions. The Company operates through two segments: Scores and Software. The Scores segment includes the Company's business-to-business scoring solutions and services which give its clients access to predictive credit and other scores. This segment includes its business-to-consumer scoring solutions, including its myFICO.com subscription offerings. The Company’s Software segment includes pre-configured analytic and decision management solutions designed for a specific type of business need or process, such as account origination, customer management, customer engagement, fraud detection and marketing as well as associated professional services. This segment includes FICO Platform, a modular software offering designed to support advanced analytic and decision use cases as well as stand-alone analytic and decisioning software.</v>
    <v>3718</v>
    <v>New York Stock Exchange</v>
    <v>XNYS</v>
    <v>XNYS</v>
    <v>5 West Mendenhall, Suites 105, BOZEMAN, MT, 59715 US</v>
    <v>1724.0745999999999</v>
    <v>Software &amp; IT Services</v>
    <v>Stock</v>
    <v>45800.996215763284</v>
    <v>1312</v>
    <v>1672.5</v>
    <v>41243590000</v>
    <v>FAIR ISAAC CORPORATION</v>
    <v>FAIR ISAAC CORPORATION</v>
    <v>1690.7049999999999</v>
    <v>73.221699999999998</v>
    <v>1700.32</v>
    <v>1694.36</v>
    <v>1694</v>
    <v>24341690</v>
    <v>FICO</v>
    <v>FAIR ISAAC CORPORATION (XNYS:FICO)</v>
    <v>290334</v>
    <v>234781</v>
    <v>1987</v>
  </rv>
  <rv s="4">
    <v>1313</v>
  </rv>
  <rv s="0">
    <v>https://www.bing.com/financeapi/forcetrigger?t=a25jnm&amp;q=XNAS%3aVRSK&amp;form=skydnc</v>
    <v>Learn more on Bing</v>
  </rv>
  <rv s="5">
    <v>en-CA</v>
    <v>a25jnm</v>
    <v>268435456</v>
    <v>1</v>
    <v>Powered by Refinitiv</v>
    <v>7</v>
    <v>VERISK ANALYTICS, INC. (XNAS:VRSK)</v>
    <v>8</v>
    <v>9</v>
    <v>Finance</v>
    <v>5</v>
    <v>315.11</v>
    <v>245.01</v>
    <v>0.87960000000000005</v>
    <v>-0.56999999999999995</v>
    <v>-2.7729999999999999E-3</v>
    <v>-1.8129999999999999E-3</v>
    <v>-0.87</v>
    <v>USD</v>
    <v>Verisk Analytics, Inc. is a data analytics and technology provider serving clients in the insurance ecosystem. The Company offers predictive analytics and decision support solutions to clients in rating, underwriting, claims, catastrophe, weather risk, and many other fields. Its insurance segment serves its property and casualty insurance customers across personal and commercial lines of business, focusing on insurance programs, the prediction of loss, the selection and pricing of risk, and compliance with their reporting requirements in each United States state in which they operate. It also develops and utilizes machine-learned and artificially intelligent models to forecast scenarios and produce both standard and customized analytics that help its customers better manage their businesses, including detecting fraud before and after a loss event. It owns a SaaS platform that supports an open ecosystem where specialized model partners make their models, hazard data and analytics.</v>
    <v>7800</v>
    <v>Nasdaq Stock Market</v>
    <v>XNAS</v>
    <v>XNAS</v>
    <v>545 Washington Boulevard, JERSEY CITY, NJ, 07310-1686 US</v>
    <v>314.58999999999997</v>
    <v>Software &amp; IT Services</v>
    <v>Stock</v>
    <v>45800.989381596875</v>
    <v>1315</v>
    <v>311.58999999999997</v>
    <v>43891430000</v>
    <v>VERISK ANALYTICS, INC.</v>
    <v>VERISK ANALYTICS, INC.</v>
    <v>312.83999999999997</v>
    <v>46.357700000000001</v>
    <v>314.33999999999997</v>
    <v>313.77</v>
    <v>312.89999999999998</v>
    <v>139884100</v>
    <v>VRSK</v>
    <v>VERISK ANALYTICS, INC. (XNAS:VRSK)</v>
    <v>548022</v>
    <v>790264</v>
    <v>2008</v>
  </rv>
  <rv s="4">
    <v>1316</v>
  </rv>
  <rv s="0">
    <v>https://www.bing.com/financeapi/forcetrigger?t=a1qhz2&amp;q=XNAS%3aCTSH&amp;form=skydnc</v>
    <v>Learn more on Bing</v>
  </rv>
  <rv s="5">
    <v>en-CA</v>
    <v>a1qhz2</v>
    <v>268435456</v>
    <v>1</v>
    <v>Powered by Refinitiv</v>
    <v>7</v>
    <v>COGNIZANT TECHNOLOGY SOLUTIONS CORPORATION (XNAS:CTSH)</v>
    <v>8</v>
    <v>9</v>
    <v>Finance</v>
    <v>5</v>
    <v>90.82</v>
    <v>63.79</v>
    <v>0.97030000000000005</v>
    <v>-0.78</v>
    <v>2.3761000000000001E-2</v>
    <v>-9.7619999999999998E-3</v>
    <v>1.88</v>
    <v>USD</v>
    <v>Cognizant Technology Solutions Corporation engineers modern businesses. Its services include artificial intelligence (AI) and other technology services and solutions, consulting, application development, systems integration, quality engineering and assurance, application maintenance, infrastructure and security as well as business process services and automation. Its segments include Health Sciences (HS), Financial Services (FS), Products and Resources (P&amp;R), and Communications, Media and Technology (CMT). HS segment consists of healthcare providers and payers, and life sciences companies. FS segment includes banking, capital markets, payments and insurance companies. P&amp;R segment includes manufacturers, automakers, retailers, consumer goods companies, and travel and hospitality companies, as well as businesses providing logistics, energy and utility services. CMT segment includes global communications, media and entertainment, education, information services and technology companies.</v>
    <v>336300</v>
    <v>Nasdaq Stock Market</v>
    <v>XNAS</v>
    <v>XNAS</v>
    <v>300 Frank W. Burr Blvd., Ste. 36, 6 Fl., TEANECK, NJ, 07666 US</v>
    <v>79.474999999999994</v>
    <v>Software &amp; IT Services</v>
    <v>Stock</v>
    <v>45800.947471446096</v>
    <v>1318</v>
    <v>78.48</v>
    <v>39001570000</v>
    <v>COGNIZANT TECHNOLOGY SOLUTIONS CORPORATION</v>
    <v>COGNIZANT TECHNOLOGY SOLUTIONS CORPORATION</v>
    <v>78.92</v>
    <v>16.828399999999998</v>
    <v>79.900000000000006</v>
    <v>79.12</v>
    <v>81</v>
    <v>492942000</v>
    <v>CTSH</v>
    <v>COGNIZANT TECHNOLOGY SOLUTIONS CORPORATION (XNAS:CTSH)</v>
    <v>2243158</v>
    <v>3563856</v>
    <v>1988</v>
  </rv>
  <rv s="4">
    <v>1319</v>
  </rv>
  <rv s="0">
    <v>https://www.bing.com/financeapi/forcetrigger?t=a1vtoc&amp;q=XNYS%3aIT&amp;form=skydnc</v>
    <v>Learn more on Bing</v>
  </rv>
  <rv s="5">
    <v>en-CA</v>
    <v>a1vtoc</v>
    <v>268435456</v>
    <v>1</v>
    <v>Powered by Refinitiv</v>
    <v>7</v>
    <v>GARTNER, INC. (XNYS:IT)</v>
    <v>8</v>
    <v>9</v>
    <v>Finance</v>
    <v>5</v>
    <v>584.01</v>
    <v>366.05</v>
    <v>1.2448999999999999</v>
    <v>-5.3</v>
    <v>0</v>
    <v>-1.1946000000000002E-2</v>
    <v>0</v>
    <v>USD</v>
    <v>Gartner, Inc. delivers actionable, objective insight to executives and their teams. It operates through three segments: Research, Conferences and Consulting. The Research segment delivers independent, objective insight to leaders across an enterprise through subscription services that include on-demand access to published research content, data and benchmarks, and direct access to a network of research experts located around the globe. The Gartner Conferences segment is designed for information technology (IT) and business executives as well as decision-makers looking to adapt and evolve their organizations through disruption and uncertainty, navigate risks and prioritize investments. The Consulting segment serves chief information officers and other senior executives to optimize technology investments and drive business impact. The Company also provides solutions for a range of IT-related priorities, including IT cost optimization, digital transformation, and IT sourcing optimization.</v>
    <v>21107</v>
    <v>New York Stock Exchange</v>
    <v>XNYS</v>
    <v>XNYS</v>
    <v>56 Top Gallant Rd, P O Box 10212, STAMFORD, CT, 06904-2212 US</v>
    <v>441.14</v>
    <v>Software &amp; IT Services</v>
    <v>Stock</v>
    <v>45800.958333356248</v>
    <v>1321</v>
    <v>436.85500000000002</v>
    <v>33739230000</v>
    <v>GARTNER, INC.</v>
    <v>GARTNER, INC.</v>
    <v>439.13</v>
    <v>27.598199999999999</v>
    <v>443.66</v>
    <v>438.36</v>
    <v>438.36</v>
    <v>76966940</v>
    <v>IT</v>
    <v>GARTNER, INC. (XNYS:IT)</v>
    <v>440448</v>
    <v>511115</v>
    <v>1990</v>
  </rv>
  <rv s="4">
    <v>1322</v>
  </rv>
  <rv s="0">
    <v>https://www.bing.com/financeapi/forcetrigger?t=a1rjec&amp;q=XNAS%3aEA&amp;form=skydnc</v>
    <v>Learn more on Bing</v>
  </rv>
  <rv s="5">
    <v>en-CA</v>
    <v>a1rjec</v>
    <v>268435456</v>
    <v>1</v>
    <v>Powered by Refinitiv</v>
    <v>7</v>
    <v>ELECTRONIC ARTS INC. (XNAS:EA)</v>
    <v>8</v>
    <v>9</v>
    <v>Finance</v>
    <v>5</v>
    <v>168.5</v>
    <v>115.21</v>
    <v>0.7298</v>
    <v>0.26</v>
    <v>-6.8079999999999999E-5</v>
    <v>1.7730000000000001E-3</v>
    <v>-0.01</v>
    <v>USD</v>
    <v>Electronic Arts Inc. is a digital interactive entertainment company. The Company develops and delivers games, content and online services for Internet-connected consoles, mobile devices and personal computers. It develops and publishes games and experiences across diverse genres, such as sports, racing, first-person shooter, action, role-playing and simulation. Its portfolio of brands includes EA SPORTS FC, Battlefield, Apex Legends, The Sims, EA SPORTS Madden NFL, EA SPORTS College Football, Need for Speed, Dragon Age, Titanfall, Plants vs. Zombies and EA SPORTS F1. The Company also offers live services, including extra content, subscription offerings and other revenue generated outside of the sale of its full games. It primarily distributes its console products and services through partners, such as Sony and Microsoft. It distributes its mobile applications and additional content through distributors such as Apple and Google.</v>
    <v>14500</v>
    <v>Nasdaq Stock Market</v>
    <v>XNAS</v>
    <v>XNAS</v>
    <v>209 Redwood Shores Pkwy, REDWOOD CITY, CA, 94065 US</v>
    <v>147.92500000000001</v>
    <v>Software &amp; IT Services</v>
    <v>Stock</v>
    <v>45800.994934860937</v>
    <v>1324</v>
    <v>146.46</v>
    <v>36835010000</v>
    <v>ELECTRONIC ARTS INC.</v>
    <v>ELECTRONIC ARTS INC.</v>
    <v>146.87</v>
    <v>34.5809</v>
    <v>146.63</v>
    <v>146.88999999999999</v>
    <v>146.88</v>
    <v>250766000</v>
    <v>EA</v>
    <v>ELECTRONIC ARTS INC. (XNAS:EA)</v>
    <v>2108705</v>
    <v>3225032</v>
    <v>1991</v>
  </rv>
  <rv s="4">
    <v>1325</v>
  </rv>
  <rv s="0">
    <v>https://www.bing.com/financeapi/forcetrigger?t=a1rk52&amp;q=XNAS%3aEBAY&amp;form=skydnc</v>
    <v>Learn more on Bing</v>
  </rv>
  <rv s="5">
    <v>en-CA</v>
    <v>a1rk52</v>
    <v>268435456</v>
    <v>1</v>
    <v>Powered by Refinitiv</v>
    <v>7</v>
    <v>EBAY INC. (XNAS:EBAY)</v>
    <v>8</v>
    <v>9</v>
    <v>Finance</v>
    <v>5</v>
    <v>72.94</v>
    <v>51.38</v>
    <v>1.2685999999999999</v>
    <v>-0.23</v>
    <v>1.8079999999999999E-3</v>
    <v>-3.1879999999999999E-3</v>
    <v>0.13</v>
    <v>USD</v>
    <v>eBay Inc. is a global commerce company. The Company's technology empowers buyers and sellers in more than 190 markets around the world. The Company's business includes its online marketplace located at www.ebay.com and its localized counterparts, its off-platform marketplaces and its suite of mobile apps. It provides a number of features for its sellers and buyers that align with its approach of leveraging technology, including generative AI, to enhance the marketplace experience for its customers. For sellers, the Company is focused on simplifying their business processes to help drive their sales. The Company offers the eBay International Shipping program for sellers in the United States. For buyers, it is changing the way they find inventory through discovery, personalization and other experiences. It launched Explore, an AI-powered shopping feed enabling users to browse a list of personalized recommendations based on their interests, style preferences, and sizes.</v>
    <v>11500</v>
    <v>Nasdaq Stock Market</v>
    <v>XNAS</v>
    <v>XNAS</v>
    <v>2025 Hamilton Avenue, SAN JOSE, CA, 95125 US</v>
    <v>72.650000000000006</v>
    <v>Software &amp; IT Services</v>
    <v>Stock</v>
    <v>45800.930410693749</v>
    <v>1327</v>
    <v>71.53</v>
    <v>33155120000</v>
    <v>EBAY INC.</v>
    <v>EBAY INC.</v>
    <v>71.569999999999993</v>
    <v>17.161200000000001</v>
    <v>72.150000000000006</v>
    <v>71.92</v>
    <v>72.05</v>
    <v>461000000</v>
    <v>EBAY</v>
    <v>EBAY INC. (XNAS:EBAY)</v>
    <v>3562380</v>
    <v>5450653</v>
    <v>1998</v>
  </rv>
  <rv s="4">
    <v>1328</v>
  </rv>
  <rv s="0">
    <v>https://www.bing.com/financeapi/forcetrigger?t=a1qeh7&amp;q=XNAS%3aCSGP&amp;form=skydnc</v>
    <v>Learn more on Bing</v>
  </rv>
  <rv s="5">
    <v>en-CA</v>
    <v>a1qeh7</v>
    <v>268435456</v>
    <v>1</v>
    <v>Powered by Refinitiv</v>
    <v>7</v>
    <v>COSTAR GROUP, INC. (XNAS:CSGP)</v>
    <v>8</v>
    <v>9</v>
    <v>Finance</v>
    <v>5</v>
    <v>87.27</v>
    <v>68.256</v>
    <v>0.89090000000000003</v>
    <v>-0.15</v>
    <v>-4.7299999999999998E-3</v>
    <v>-2.0230000000000001E-3</v>
    <v>-0.35</v>
    <v>USD</v>
    <v>CoStar Group, Inc. is a provider of online real estate marketplaces, information, and analytics in the property markets. It manages its business in two segments: North America, which includes the United States and Canada, and International, which primarily includes Europe, Asia-Pacific and Latin America. Its major brands include CoStar, a global provider of commercial real estate data, analytics, and news; LoopNet, a commercial real estate marketplace; Apartments.com, a platform for apartment rentals; and Homes.com, a residential real estate marketplace. Its other brands include STR, which is engaged in hospitality data and benchmarking, Ten-X, an online platform for commercial real estate auctions and negotiated bids and OnTheMarket, a residential property portal in the United Kingdom. The Company, through Matterport, Inc., is advancing property insights and driving the growth of AI-driven digital twin technology across the global commercial and residential real estate sector.</v>
    <v>6593</v>
    <v>Nasdaq Stock Market</v>
    <v>XNAS</v>
    <v>XNAS</v>
    <v>1331 L Street, Nw, WASHINGTON, DC, 20005 US</v>
    <v>74.08</v>
    <v>Software &amp; IT Services</v>
    <v>Stock</v>
    <v>45800.930468517967</v>
    <v>1330</v>
    <v>73.25</v>
    <v>31215390000</v>
    <v>COSTAR GROUP, INC.</v>
    <v>COSTAR GROUP, INC.</v>
    <v>73.39</v>
    <v>257.959</v>
    <v>74.14</v>
    <v>73.989999999999995</v>
    <v>73.64</v>
    <v>421886700</v>
    <v>CSGP</v>
    <v>COSTAR GROUP, INC. (XNAS:CSGP)</v>
    <v>1900361</v>
    <v>3459053</v>
    <v>1998</v>
  </rv>
  <rv s="4">
    <v>1331</v>
  </rv>
  <rv s="0">
    <v>http://de.wikipedia.org/wiki/Ansys_(Software)</v>
    <v>Wikipedia</v>
  </rv>
  <rv s="1">
    <v>0</v>
    <v>1333</v>
  </rv>
  <rv s="2">
    <v>6</v>
    <v>https://www.bing.com/th?id=AMMS_f3897dd33ba834ff757faa162430cee7&amp;qlt=95</v>
    <v>1334</v>
    <v>0</v>
    <v>https://www.bing.com/images/search?form=xlimg&amp;q=ansys</v>
    <v>Image of ANSYS, INC.</v>
  </rv>
  <rv s="0">
    <v>https://www.bing.com/financeapi/forcetrigger?t=a1njh7&amp;q=XNAS%3aANSS&amp;form=skydnc</v>
    <v>Learn more on Bing</v>
  </rv>
  <rv s="3">
    <v>en-CA</v>
    <v>a1njh7</v>
    <v>268435456</v>
    <v>1</v>
    <v>Powered by Refinitiv</v>
    <v>0</v>
    <v>ANSYS, INC. (XNAS:ANSS)</v>
    <v>3</v>
    <v>4</v>
    <v>Finance</v>
    <v>5</v>
    <v>363.03</v>
    <v>275.06</v>
    <v>1.2096</v>
    <v>-1.48</v>
    <v>-3.5920000000000001E-3</v>
    <v>-4.3070000000000001E-3</v>
    <v>-1.2292000000000001</v>
    <v>USD</v>
    <v>ANSYS, Inc. develops and globally markets engineering simulation software and services used by engineers, designers, researchers and students across a range of industries and academia, including high-tech, aerospace and defense (A&amp;D), automotive, energy, industrial equipment, materials and chemicals, consumer products, healthcare and construction. It is focused on the development of open and flexible solutions that enable users to analyze designs on-premises and/or via the cloud, providing a common platform for product development, from design concept to final-stage testing, validation and deployment. Its portfolio consists of various capabilities, including structures; electronics; fluids; semiconductors; optics, virtual reality and photonics; digital mission engineering; Materials; 3D design; embedded software; safety analysis; digital twin; autonomous vehicle simulation; academic, and platform. Its products include Ansys Mechanical and Ansys High Frequency Structure Simulator.</v>
    <v>6500</v>
    <v>Nasdaq Stock Market</v>
    <v>XNAS</v>
    <v>XNAS</v>
    <v>2600 Ansys Drive, Southpointe, CANONSBURG, PA, 15317 US</v>
    <v>343.52499999999998</v>
    <v>1335</v>
    <v>Software &amp; IT Services</v>
    <v>Stock</v>
    <v>45800.989440138284</v>
    <v>1336</v>
    <v>339.41</v>
    <v>30082270000</v>
    <v>ANSYS, INC.</v>
    <v>ANSYS, INC.</v>
    <v>339.93</v>
    <v>51.006599999999999</v>
    <v>343.65</v>
    <v>342.17</v>
    <v>340.94080000000002</v>
    <v>87916140</v>
    <v>ANSS</v>
    <v>ANSYS, INC. (XNAS:ANSS)</v>
    <v>429419</v>
    <v>585418</v>
    <v>1994</v>
  </rv>
  <rv s="4">
    <v>1337</v>
  </rv>
  <rv s="0">
    <v>https://www.bing.com/financeapi/forcetrigger?t=a24poc&amp;q=XNYS%3aTYL&amp;form=skydnc</v>
    <v>Learn more on Bing</v>
  </rv>
  <rv s="5">
    <v>en-CA</v>
    <v>a24poc</v>
    <v>268435456</v>
    <v>1</v>
    <v>Powered by Refinitiv</v>
    <v>7</v>
    <v>TYLER TECHNOLOGIES, INC. (XNYS:TYL)</v>
    <v>8</v>
    <v>9</v>
    <v>Finance</v>
    <v>5</v>
    <v>661.31</v>
    <v>458.5</v>
    <v>0.84540000000000004</v>
    <v>-1.4</v>
    <v>-1.237E-4</v>
    <v>-2.467E-3</v>
    <v>-7.0000000000000007E-2</v>
    <v>USD</v>
    <v>Tyler Technologies, Inc. is a provider of integrated software and technology management solutions for the public sector. Its end-to-end solutions enable local, state, and federal government entities to operate efficiently and transparently with residents and each other. Its segments include Enterprise Software (ES) and Platform Technologies (PT). ES segment offers public sector entities with software systems and services to meet their information technology and automation needs for mission-critical back-office functions, such as public administration solutions; courts and public safety solutions; education solutions, and property and recording solutions. PT segment offers public sector entities with platforms and transformative solutions, such as digital solutions, payment processing, streamlined data processing, and improved operations and workflows. It offers cloud-based software with an integrated platform for managing and streamlining permitting, inspections, planning, and zoning.</v>
    <v>7462</v>
    <v>New York Stock Exchange</v>
    <v>XNYS</v>
    <v>XNYS</v>
    <v>5101 Tennyson Pkwy, PLANO, TX, 75024 US</v>
    <v>570.35</v>
    <v>Software &amp; IT Services</v>
    <v>Stock</v>
    <v>45800.998171666404</v>
    <v>1339</v>
    <v>559.59</v>
    <v>24408790000</v>
    <v>TYLER TECHNOLOGIES, INC.</v>
    <v>TYLER TECHNOLOGIES, INC.</v>
    <v>564.29999999999995</v>
    <v>85.471400000000003</v>
    <v>567.41999999999996</v>
    <v>566.02</v>
    <v>565.95000000000005</v>
    <v>43123550</v>
    <v>TYL</v>
    <v>TYLER TECHNOLOGIES, INC. (XNYS:TYL)</v>
    <v>181266</v>
    <v>305043</v>
    <v>1989</v>
  </rv>
  <rv s="4">
    <v>1340</v>
  </rv>
  <rv s="0">
    <v>https://www.bing.com/financeapi/forcetrigger?t=a25jqh&amp;q=XNAS%3aVRSN&amp;form=skydnc</v>
    <v>Learn more on Bing</v>
  </rv>
  <rv s="5">
    <v>en-CA</v>
    <v>a25jqh</v>
    <v>268435456</v>
    <v>1</v>
    <v>Powered by Refinitiv</v>
    <v>7</v>
    <v>VERISIGN, INC. (XNAS:VRSN)</v>
    <v>8</v>
    <v>9</v>
    <v>Finance</v>
    <v>5</v>
    <v>288.95</v>
    <v>168.79</v>
    <v>0.78920000000000001</v>
    <v>-2.1</v>
    <v>8.0070000000000002E-3</v>
    <v>-7.4510000000000002E-3</v>
    <v>2.2400000000000002</v>
    <v>USD</v>
    <v>VeriSign, Inc. is a global provider of Internet infrastructure and domain name registry services, enables Internet navigation for various domain names. The Company helps to enable the security, stability, and resiliency of the domain name system and the Internet by providing root zone maintainer services, operating two of the 13 global Internet root servers, and providing registration services and authoritative resolution. It operates the authoritative directory, for all .com, .net, and .name domain names (generic top-level domains or gTLDs), as well as for certain transliterations of .com and .net in number of different native languages and scripts (internationalized generic top-level domains). It also operates the authoritative directory for all .cc domain names (country code top-level domain). The Company operates the technical or back-end systems for .edu and certain other gTLDs. Its operations infrastructure includes distributed servers, networking, and disaster recovery plans.</v>
    <v>929</v>
    <v>Nasdaq Stock Market</v>
    <v>XNAS</v>
    <v>XNAS</v>
    <v>ATTN: GENERAL COUNSEL, 12061 BLUEMONT WAY, RESTON, VA, 20190 US</v>
    <v>282.10000000000002</v>
    <v>Software &amp; IT Services</v>
    <v>Stock</v>
    <v>45800.92018018516</v>
    <v>1342</v>
    <v>279.09010000000001</v>
    <v>26269460000</v>
    <v>VERISIGN, INC.</v>
    <v>VERISIGN, INC.</v>
    <v>280.39</v>
    <v>34.438299999999998</v>
    <v>281.86</v>
    <v>279.76</v>
    <v>282</v>
    <v>93900000</v>
    <v>VRSN</v>
    <v>VERISIGN, INC. (XNAS:VRSN)</v>
    <v>556594</v>
    <v>981194</v>
    <v>1995</v>
  </rv>
  <rv s="4">
    <v>1343</v>
  </rv>
  <rv s="0">
    <v>https://www.bing.com/financeapi/forcetrigger?t=a21d7w&amp;q=XNAS%3aPTC&amp;form=skydnc</v>
    <v>Learn more on Bing</v>
  </rv>
  <rv s="5">
    <v>en-CA</v>
    <v>a21d7w</v>
    <v>268435456</v>
    <v>1</v>
    <v>Powered by Refinitiv</v>
    <v>7</v>
    <v>PTC INC. (XNAS:PTC)</v>
    <v>8</v>
    <v>9</v>
    <v>Finance</v>
    <v>5</v>
    <v>203.09</v>
    <v>133.38</v>
    <v>1.1872</v>
    <v>-1.6</v>
    <v>0</v>
    <v>-9.391E-3</v>
    <v>0</v>
    <v>USD</v>
    <v>PTC Inc. is a global software company that enables industrial and manufacturing companies to digitally transform how they engineer, manufacture, and service the physical products. Its computer-aided design (CAD) portfolio solutions enable companies to author product data. Its product lifecycle management (PLM) portfolio solutions enable companies to manage product data and orchestrate processes. Its software can be delivered on premises, in the cloud or in a hybrid model. Its PLM products and services include Windchill PLM, ThingWorx, ServiceMax, Arena, Codebeamer, Servigistics, FlexPLM and Kepware. Its CAD products and services include Creo 3D, Onshape, Vuforia and Arbortext. Its Windchill PLM application suite manages all aspects of the product development lifecycle-from concept through service and retirement-by enabling a digital thread of product parts, materials and configuration information. Its ThingWorx platform is flexible and purpose-built for industrial Internet of things.</v>
    <v>7501</v>
    <v>Nasdaq Stock Market</v>
    <v>XNAS</v>
    <v>XNAS</v>
    <v>121 Seaport Blvd., BOSTON, MA, 02210 US</v>
    <v>169.73</v>
    <v>Software &amp; IT Services</v>
    <v>Stock</v>
    <v>45800.868339560155</v>
    <v>1345</v>
    <v>167.33</v>
    <v>20307000000</v>
    <v>PTC INC.</v>
    <v>PTC INC.</v>
    <v>167.64</v>
    <v>46.811399999999999</v>
    <v>170.37</v>
    <v>168.77</v>
    <v>168.77</v>
    <v>120323500</v>
    <v>PTC</v>
    <v>PTC INC. (XNAS:PTC)</v>
    <v>692218</v>
    <v>849368</v>
    <v>1985</v>
  </rv>
  <rv s="4">
    <v>1346</v>
  </rv>
  <rv s="0">
    <v>https://www.bing.com/financeapi/forcetrigger?t=a1wt7w&amp;q=XNYS%3aLDOS&amp;form=skydnc</v>
    <v>Learn more on Bing</v>
  </rv>
  <rv s="5">
    <v>en-CA</v>
    <v>a1wt7w</v>
    <v>268435456</v>
    <v>1</v>
    <v>Powered by Refinitiv</v>
    <v>7</v>
    <v>LEIDOS HOLDINGS, INC. (XNYS:LDOS)</v>
    <v>8</v>
    <v>9</v>
    <v>Finance</v>
    <v>5</v>
    <v>202.8999</v>
    <v>123.62</v>
    <v>0.6542</v>
    <v>-5.81</v>
    <v>-5.9020000000000003E-4</v>
    <v>-3.6701999999999999E-2</v>
    <v>-0.09</v>
    <v>USD</v>
    <v>Leidos Holdings, Inc. is a holding company, which operates through its wholly owned subsidiary, Leidos, Inc. (Leidos). The Company’s segments include National Security &amp; Digital, Health &amp; Civil, Commercial &amp; International and Defense Systems. Its National Security &amp; Digital business provides technologically advanced services, solutions and products, as well as mission software capabilities for defense and intelligence customers in the areas of cyber, logistics, security operations and decision analytics. Its Health &amp; Civil business provides services and solutions to federal and commercial customers in the areas of public health, care coordination, life and environmental sciences and transportation. Its Commercial &amp; International business delivers a portfolio of products, services, and solutions aimed at securing national assets, modernizing energy and critical infrastructure, and enhancing mission outcomes. The Company serves government and commercial customers.</v>
    <v>48000</v>
    <v>New York Stock Exchange</v>
    <v>XNYS</v>
    <v>XNYS</v>
    <v>1750 Presidents Street, RESTON, VA, 20190 US</v>
    <v>156</v>
    <v>Software &amp; IT Services</v>
    <v>Stock</v>
    <v>45800.999303228906</v>
    <v>1348</v>
    <v>150.51</v>
    <v>19628340000</v>
    <v>LEIDOS HOLDINGS, INC.</v>
    <v>LEIDOS HOLDINGS, INC.</v>
    <v>155.13999999999999</v>
    <v>15.984500000000001</v>
    <v>158.30000000000001</v>
    <v>152.49</v>
    <v>152.4</v>
    <v>128718900</v>
    <v>LDOS</v>
    <v>LEIDOS HOLDINGS, INC. (XNYS:LDOS)</v>
    <v>1568140</v>
    <v>1267342</v>
    <v>2005</v>
  </rv>
  <rv s="4">
    <v>1349</v>
  </rv>
  <rv s="0">
    <v>https://www.bing.com/financeapi/forcetrigger?t=a24hfr&amp;q=XNAS%3aTRMB&amp;form=skydnc</v>
    <v>Learn more on Bing</v>
  </rv>
  <rv s="5">
    <v>en-CA</v>
    <v>a24hfr</v>
    <v>268435456</v>
    <v>1</v>
    <v>Powered by Refinitiv</v>
    <v>7</v>
    <v>TRIMBLE INC. (XNAS:TRMB)</v>
    <v>8</v>
    <v>9</v>
    <v>Finance</v>
    <v>5</v>
    <v>77.78</v>
    <v>48.645000000000003</v>
    <v>1.6781999999999999</v>
    <v>-0.24</v>
    <v>6.6620000000000004E-3</v>
    <v>-3.3900000000000002E-3</v>
    <v>0.47</v>
    <v>USD</v>
    <v>Trimble Inc. is a provider of technology solutions that enable professionals and field mobile workers to improve or transform their work processes. Its comprehensive work process solutions are used across a range of industries, including architecture, building construction, civil engineering, geospatial, survey and mapping, natural resources, utilities, transportation, and government. Its segments include Architects, Engineers, Construction and Owners (AECO); Field Systems, and Transportation and Logistics (T&amp;L). The AECO segment primarily provides software solutions that sell primarily through a direct channel to customers in the construction industry. Field Systems segment primarily provides hardware and associated software solutions that sell primarily through dealer partner channels. The T&amp;L segment primarily provides solutions for customers working in long haul trucking and freight shipper markets. Its solutions include 3D modeling &amp; BIM and building construction field services.</v>
    <v>12100</v>
    <v>Nasdaq Stock Market</v>
    <v>XNAS</v>
    <v>XNAS</v>
    <v>10368 Westmoor Dr, WESTMINSTER, CO, 80021 US</v>
    <v>70.790000000000006</v>
    <v>Software &amp; IT Services</v>
    <v>Stock</v>
    <v>45800.953730705471</v>
    <v>1351</v>
    <v>69.33</v>
    <v>16832310000</v>
    <v>TRIMBLE INC.</v>
    <v>TRIMBLE INC.</v>
    <v>69.52</v>
    <v>11.5566</v>
    <v>70.790000000000006</v>
    <v>70.55</v>
    <v>71.02</v>
    <v>238586900</v>
    <v>TRMB</v>
    <v>TRIMBLE INC. (XNAS:TRMB)</v>
    <v>929222</v>
    <v>1339349</v>
    <v>2016</v>
  </rv>
  <rv s="4">
    <v>1352</v>
  </rv>
  <rv s="0">
    <v>https://www.bing.com/financeapi/forcetrigger?t=a1stjc&amp;q=XNAS%3aFFIV&amp;form=skydnc</v>
    <v>Learn more on Bing</v>
  </rv>
  <rv s="5">
    <v>en-CA</v>
    <v>a1stjc</v>
    <v>268435456</v>
    <v>1</v>
    <v>Powered by Refinitiv</v>
    <v>7</v>
    <v>F5, INC. (XNAS:FFIV)</v>
    <v>8</v>
    <v>9</v>
    <v>Finance</v>
    <v>5</v>
    <v>312.99990000000003</v>
    <v>164.45</v>
    <v>1.0043</v>
    <v>-2.38</v>
    <v>1.2442E-2</v>
    <v>-8.3660000000000002E-3</v>
    <v>3.51</v>
    <v>USD</v>
    <v>F5, Inc. is a multi-cloud application services and security company. The Company partners with various organizations to secure and optimize every app and application programming interface (API) anywhere - on premises, in the cloud, or at the edge. The Company's enterprise-grade application services are available as cloud-based, software-as-a-service, and software-only solutions optimized for multi-cloud environments, with modules that can run independently, or as part of an integrated solution on its high-performance appliances. The Company, through its BIG-IP, F5 NGINX and F5 Distributed Cloud Services product, offers a range of integrated, artificial intelligence- and machine learning-driven solutions that support performance and protect both legacy and modern applications and APIs across data center, cloud, and edge locations. Its products and solutions include F5 Distributed Cloud Web App and API Protection, F5 NGINX Ingress Controller, F5 BIG-IP Security, and F5 BIG-IP Systems.</v>
    <v>6557</v>
    <v>Nasdaq Stock Market</v>
    <v>XNAS</v>
    <v>XNAS</v>
    <v>801 5Th Avenue, SEATTLE, WA, 98104 US</v>
    <v>283.63</v>
    <v>Software &amp; IT Services</v>
    <v>Stock</v>
    <v>45800.853743714841</v>
    <v>1354</v>
    <v>278.02</v>
    <v>16201450000</v>
    <v>F5, INC.</v>
    <v>F5, INC.</v>
    <v>279.20999999999998</v>
    <v>27.016400000000001</v>
    <v>284.48</v>
    <v>282.10000000000002</v>
    <v>285.61</v>
    <v>57431570</v>
    <v>FFIV</v>
    <v>F5, INC. (XNAS:FFIV)</v>
    <v>248401</v>
    <v>522175</v>
    <v>1996</v>
  </rv>
  <rv s="4">
    <v>1355</v>
  </rv>
  <rv s="0">
    <v>https://www.bing.com/financeapi/forcetrigger?t=a23vm7&amp;q=XNAS%3aNLOK&amp;form=skydnc</v>
    <v>Learn more on Bing</v>
  </rv>
  <rv s="5">
    <v>en-CA</v>
    <v>a23vm7</v>
    <v>268435456</v>
    <v>1</v>
    <v>Powered by Refinitiv</v>
    <v>7</v>
    <v>GEN DIGITAL INC. (XNAS:GEN)</v>
    <v>8</v>
    <v>9</v>
    <v>Finance</v>
    <v>5</v>
    <v>31.72</v>
    <v>22.74</v>
    <v>0.99329999999999996</v>
    <v>-0.17</v>
    <v>0</v>
    <v>-6.124000000000001E-3</v>
    <v>0</v>
    <v>USD</v>
    <v>Gen Digital Inc. is a global company. The Company offers a range of cyber safety brands, including Norton, Avast, LifeLock, MoneyLion, Avira, AVG and CCleaner, among others. Its cyber safety portfolio provides protection across three categories in multiple channels and geographies, including security and performance, identity protection, and online privacy. It also offers solutions in digital identity and access management, digital reputation, and restoration support services. It provides real-time protection for PCs, Macs and mobile devices against malware, viruses, adware, ransomware and other online threats. These offerings monitor and block unauthorized traffic from the Internet to the device to help protect private and sensitive information when customers are online. Its LifeLock, Avast and AVG brands include monitoring credit reports, the dark web and social media accounts to help safeguard its customers’ personal information. Its VPN solutions provide an encrypted data tunnel.</v>
    <v>3500</v>
    <v>Nasdaq Stock Market</v>
    <v>XNAS</v>
    <v>XNAS</v>
    <v>60 E Rio Salado Parkway, Suite 1000, TEMPE, AZ, 85281 US</v>
    <v>27.775400000000001</v>
    <v>Software &amp; IT Services</v>
    <v>Stock</v>
    <v>45800.931819467187</v>
    <v>1357</v>
    <v>27.204999999999998</v>
    <v>17112140000</v>
    <v>GEN DIGITAL INC.</v>
    <v>GEN DIGITAL INC.</v>
    <v>27.36</v>
    <v>26.9436</v>
    <v>27.76</v>
    <v>27.59</v>
    <v>27.59</v>
    <v>620229700</v>
    <v>GEN</v>
    <v>GEN DIGITAL INC. (XNAS:GEN)</v>
    <v>4625733</v>
    <v>4313099</v>
    <v>1988</v>
  </rv>
  <rv s="4">
    <v>1358</v>
  </rv>
  <rv s="0">
    <v>https://www.bing.com/financeapi/forcetrigger?t=a1w6zr&amp;q=XNAS%3aJKHY&amp;form=skydnc</v>
    <v>Learn more on Bing</v>
  </rv>
  <rv s="5">
    <v>en-CA</v>
    <v>a1w6zr</v>
    <v>268435456</v>
    <v>1</v>
    <v>Powered by Refinitiv</v>
    <v>7</v>
    <v>JACK HENRY &amp; ASSOCIATES, INC. (XNAS:JKHY)</v>
    <v>8</v>
    <v>9</v>
    <v>Finance</v>
    <v>5</v>
    <v>196</v>
    <v>157</v>
    <v>0.73580000000000001</v>
    <v>0.16</v>
    <v>6.4840000000000002E-3</v>
    <v>8.7989999999999997E-4</v>
    <v>1.18</v>
    <v>USD</v>
    <v>Jack Henry &amp; Associates, Inc. is a financial technology company. The Company’s segments include Core, Payments, Complementary, and Corporate and Other. The Core segment provides core information processing platforms to banks and credit unions, which consist of integrated applications required to process deposit, loan, and general ledger transactions, and maintain centralized customer/member information. The Payments segment provides secure payment processing tools and services, including automated teller machine, debit, and credit card processing services; online and mobile bill pay solutions; automated clearinghouse origination and remote deposit capture processing; and risk management products and services. The Complementary segment provides additional software, hosted processing platforms, and services, including digital/mobile banking, treasury services, online account opening, fraud/anti-money laundering and lending/deposit solutions that can be integrated with its core solutions.</v>
    <v>7170</v>
    <v>Nasdaq Stock Market</v>
    <v>XNAS</v>
    <v>XNAS</v>
    <v>PO BOX 807, 663 HWY 60, MONETT, MO, 65708-0807 US</v>
    <v>182.93</v>
    <v>Software &amp; IT Services</v>
    <v>Stock</v>
    <v>45800.847226296093</v>
    <v>1360</v>
    <v>180.57</v>
    <v>13252510000</v>
    <v>JACK HENRY &amp; ASSOCIATES, INC.</v>
    <v>JACK HENRY &amp; ASSOCIATES, INC.</v>
    <v>181.83</v>
    <v>30.952300000000001</v>
    <v>181.84</v>
    <v>182</v>
    <v>183.18</v>
    <v>72815990</v>
    <v>JKHY</v>
    <v>JACK HENRY &amp; ASSOCIATES, INC. (XNAS:JKHY)</v>
    <v>522864</v>
    <v>694521</v>
    <v>1985</v>
  </rv>
  <rv s="4">
    <v>1361</v>
  </rv>
  <rv s="0">
    <v>https://www.bing.com/financeapi/forcetrigger?t=a1n7yc&amp;q=XNAS%3aAKAM&amp;form=skydnc</v>
    <v>Learn more on Bing</v>
  </rv>
  <rv s="5">
    <v>en-CA</v>
    <v>a1n7yc</v>
    <v>268435456</v>
    <v>1</v>
    <v>Powered by Refinitiv</v>
    <v>7</v>
    <v>AKAMAI TECHNOLOGIES, INC. (XNAS:AKAM)</v>
    <v>8</v>
    <v>9</v>
    <v>Finance</v>
    <v>5</v>
    <v>106.8</v>
    <v>67.510000000000005</v>
    <v>0.78649999999999998</v>
    <v>-1.24</v>
    <v>1.4499999999999999E-3</v>
    <v>-1.6087000000000001E-2</v>
    <v>0.11</v>
    <v>USD</v>
    <v>Akamai Technologies, Inc. is a cybersecurity and cloud computing company. The Company develops and provides solutions for global enterprises to build, secure and accelerate their applications and digital experiences. Akamai Connected Cloud, the Company's platform, is comprised of an edge and cloud architecture and underlying network for cloud computing, security and content delivery services. Its cloud computing services include compute, storage, networking, database and container management services that are required to build, deploy and secure applications and workloads. Its security solutions are designed to keep infrastructure, websites, applications, application programming interfaces and users safe from a multitude of cyberattacks and online threats while improving performance. Its content delivery solutions consist of Web and mobile performance focused solutions and media delivery solutions. It also provides services and support for its customers as they utilize its solutions.</v>
    <v>10811</v>
    <v>Nasdaq Stock Market</v>
    <v>XNAS</v>
    <v>XNAS</v>
    <v>145 Broadway, CAMBRIDGE, MA, 02142 US</v>
    <v>76.704999999999998</v>
    <v>Software &amp; IT Services</v>
    <v>Stock</v>
    <v>45800.949747731247</v>
    <v>1363</v>
    <v>75.750100000000003</v>
    <v>11088290000</v>
    <v>AKAMAI TECHNOLOGIES, INC.</v>
    <v>AKAMAI TECHNOLOGIES, INC.</v>
    <v>76.099999999999994</v>
    <v>26.000699999999998</v>
    <v>77.08</v>
    <v>75.84</v>
    <v>75.95</v>
    <v>146206400</v>
    <v>AKAM</v>
    <v>AKAMAI TECHNOLOGIES, INC. (XNAS:AKAM)</v>
    <v>1946743</v>
    <v>2800270</v>
    <v>1998</v>
  </rv>
  <rv s="4">
    <v>1364</v>
  </rv>
  <rv s="0">
    <v>https://www.bing.com/financeapi/forcetrigger?t=a1s2fr&amp;q=XNYS%3aEPAM&amp;form=skydnc</v>
    <v>Learn more on Bing</v>
  </rv>
  <rv s="5">
    <v>en-CA</v>
    <v>a1s2fr</v>
    <v>268435456</v>
    <v>1</v>
    <v>Powered by Refinitiv</v>
    <v>7</v>
    <v>EPAM SYSTEMS, INC. (XNYS:EPAM)</v>
    <v>8</v>
    <v>9</v>
    <v>Finance</v>
    <v>5</v>
    <v>269</v>
    <v>138.14500000000001</v>
    <v>1.7284999999999999</v>
    <v>-4.68</v>
    <v>0</v>
    <v>-2.5909000000000001E-2</v>
    <v>0</v>
    <v>USD</v>
    <v>EPAM Systems, Inc. provides digital engineering, cloud, and artificial intelligence-enabled transformation services. The Company's software product and platform development services, including product research, customer experience design and prototyping, program management, component design and integration, full lifecycle software testing, product deployment and end-user customization, performance tuning, product support and maintenance, managed services, as well as cross-platform migration and modernizing legacy platforms. Its segments include North America and Europe. It offers complex software product development services. It partners with global pharmaceutical, medical and scientific technology, biotechnology companies and retail pharmacies to deliver scientific informatics and enterprise technology solutions. It offers health data analytics. It also offers a set of AI-enabled capabilities to clients in banking, capital markets and other financially regulated businesses.</v>
    <v>61200</v>
    <v>New York Stock Exchange</v>
    <v>XNYS</v>
    <v>XNYS</v>
    <v>SUITE 202, 41 UNIVERSITY DRIVE, NEWTOWN, PA, 18940 US</v>
    <v>176.83</v>
    <v>Software &amp; IT Services</v>
    <v>Stock</v>
    <v>45800.958333356248</v>
    <v>1366</v>
    <v>172.36</v>
    <v>9968043000</v>
    <v>EPAM SYSTEMS, INC.</v>
    <v>EPAM SYSTEMS, INC.</v>
    <v>176.11</v>
    <v>25.259899999999998</v>
    <v>180.63</v>
    <v>175.95</v>
    <v>175.95</v>
    <v>56652700</v>
    <v>EPAM</v>
    <v>EPAM SYSTEMS, INC. (XNYS:EPAM)</v>
    <v>1057164</v>
    <v>777954</v>
    <v>2002</v>
  </rv>
  <rv s="4">
    <v>1367</v>
  </rv>
  <rv s="0">
    <v>https://www.bing.com/financeapi/forcetrigger?t=a1zha2&amp;q=XNYS%3aPAYC&amp;form=skydnc</v>
    <v>Learn more on Bing</v>
  </rv>
  <rv s="5">
    <v>en-CA</v>
    <v>a1zha2</v>
    <v>268435456</v>
    <v>1</v>
    <v>Powered by Refinitiv</v>
    <v>7</v>
    <v>PAYCOM SOFTWARE, INC. (XNYS:PAYC)</v>
    <v>8</v>
    <v>9</v>
    <v>Finance</v>
    <v>5</v>
    <v>262.8</v>
    <v>139.5</v>
    <v>0.80669999999999997</v>
    <v>-3.6</v>
    <v>-6.5919999999999998E-3</v>
    <v>-1.3767E-2</v>
    <v>-1.7</v>
    <v>USD</v>
    <v>Paycom Software, Inc. is a provider of a comprehensive, cloud-based human capital management (HCM) solution delivered as software-as-a-service (SaaS). The Company provides functionality and data analytics that businesses need to manage the complete employment lifecycle, from recruitment to retirement. Its solution requires virtually no customization and is based on a core system of record maintained in a single database for all HCM functions, including talent acquisition, time and labor management, payroll, talent management and human resources (HR) management applications.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v>
    <v>7306</v>
    <v>New York Stock Exchange</v>
    <v>XNYS</v>
    <v>XNYS</v>
    <v>7501 W Memorial Rd, OKLAHOMA CITY, OK, 73142 US</v>
    <v>259.99</v>
    <v>Software &amp; IT Services</v>
    <v>Stock</v>
    <v>45800.958333367969</v>
    <v>1369</v>
    <v>255.74</v>
    <v>14446920000</v>
    <v>PAYCOM SOFTWARE, INC.</v>
    <v>PAYCOM SOFTWARE, INC.</v>
    <v>258.01</v>
    <v>37.320799999999998</v>
    <v>261.5</v>
    <v>257.89999999999998</v>
    <v>256.2</v>
    <v>56017520</v>
    <v>PAYC</v>
    <v>PAYCOM SOFTWARE, INC. (XNYS:PAYC)</v>
    <v>412519</v>
    <v>555107</v>
    <v>2013</v>
  </rv>
  <rv s="4">
    <v>1370</v>
  </rv>
  <rv s="0">
    <v>https://www.bing.com/financeapi/forcetrigger?t=azqpjc&amp;q=XNYS%3aCDAY&amp;form=skydnc</v>
    <v>Learn more on Bing</v>
  </rv>
  <rv s="5">
    <v>en-CA</v>
    <v>azqpjc</v>
    <v>268435456</v>
    <v>1</v>
    <v>Powered by Refinitiv</v>
    <v>7</v>
    <v>DAYFORCE, INC. (XNYS:DAY)</v>
    <v>8</v>
    <v>9</v>
    <v>Finance</v>
    <v>5</v>
    <v>82.69</v>
    <v>47.08</v>
    <v>1.127</v>
    <v>-1.1200000000000001</v>
    <v>-1.2581E-2</v>
    <v>-1.9195E-2</v>
    <v>-0.72</v>
    <v>USD</v>
    <v>Dayforce, Inc. is a global human capital management (HCM) software company. The Company’s Dayforce, which is a flagship cloud HCM platform, provides a full suite of HCM functionality, including global human resources (HR), payroll and tax, workforce management, benefits, and talent intelligence functionality. The Company also sells Powerpay, a cloud HR and payroll solution for the Canadian small business market, through both direct sales and established partner channels. Dayforce Human Resources provides HR professionals, managers, and employees a single, complete record of all of their HR information. Dayforce Workforce Management helps organizations manage their workforces by configuring the system to meet complex employment and working time rules and policies. Dayforce Wallet is a digital payment solution that gives employees instant access to their net earnings. The Company also offer payroll and payroll-related services using legacy technology and on-premises technology.</v>
    <v>9600</v>
    <v>New York Stock Exchange</v>
    <v>XNYS</v>
    <v>XNYS</v>
    <v>3311 EAST OLD SHAKOPEE ROAD, MINNEAPOLIS, MN, 55425 US</v>
    <v>57.73</v>
    <v>Software &amp; IT Services</v>
    <v>Stock</v>
    <v>45800.958333356248</v>
    <v>1372</v>
    <v>56.884999999999998</v>
    <v>9149993000</v>
    <v>DAYFORCE, INC.</v>
    <v>DAYFORCE, INC.</v>
    <v>56.9</v>
    <v>365.00689999999997</v>
    <v>58.35</v>
    <v>57.23</v>
    <v>56.51</v>
    <v>159881100</v>
    <v>DAY</v>
    <v>DAYFORCE, INC. (XNYS:DAY)</v>
    <v>1059142</v>
    <v>1926587</v>
    <v>2013</v>
  </rv>
  <rv s="4">
    <v>1373</v>
  </rv>
  <rv s="0">
    <v>https://www.bing.com/financeapi/forcetrigger?t=a1vmtc&amp;q=XNAS%3aINTU&amp;form=skydnc</v>
    <v>Learn more on Bing</v>
  </rv>
  <rv s="5">
    <v>en-CA</v>
    <v>a1vmtc</v>
    <v>268435456</v>
    <v>1</v>
    <v>Powered by Refinitiv</v>
    <v>7</v>
    <v>INTUIT INC. (XNAS:INTU)</v>
    <v>8</v>
    <v>9</v>
    <v>Finance</v>
    <v>5</v>
    <v>734.18</v>
    <v>532.64499999999998</v>
    <v>1.2575000000000001</v>
    <v>54.06</v>
    <v>-1.805E-4</v>
    <v>8.1163000000000013E-2</v>
    <v>-0.13</v>
    <v>USD</v>
    <v>Intuit Inc. offers financial technology platform that helps consumers and small and mid-market businesses prosper by delivering financial management, compliance, and marketing products and services. It operates through four segments: Small Business &amp; Self-Employed, Consumer, Credit Karma and ProTax. The Small Business &amp; Self-Employed segment serves small businesses and the self-employed around the world, and the accounting professionals who assist and advise them. Its offerings include QuickBooks financial and business management online services and desktop software, payroll solutions, time tracking, merchant payment processing solutions, and financing for small businesses. Consumer segment serves consumers and includes do-it-yourself and assisted TurboTax income tax preparation products and services. Credit Karma segment serves consumers with a personal finance platform that provides personalized recommendations of credit card, home, auto and personal loans, and insurance products.</v>
    <v>18800</v>
    <v>Nasdaq Stock Market</v>
    <v>XNAS</v>
    <v>XNAS</v>
    <v>2700 Coast Avenue, MOUNTAIN VIEW, CA, 94043 US</v>
    <v>734.18</v>
    <v>Financial Technology (Fintech) &amp; Infrastructure</v>
    <v>Stock</v>
    <v>45800.999725810158</v>
    <v>1375</v>
    <v>714</v>
    <v>200878100000</v>
    <v>INTUIT INC.</v>
    <v>INTUIT INC.</v>
    <v>720</v>
    <v>62.243899999999996</v>
    <v>666.07</v>
    <v>720.13</v>
    <v>720</v>
    <v>278947000</v>
    <v>INTU</v>
    <v>INTUIT INC. (XNAS:INTU)</v>
    <v>5327730</v>
    <v>1506130</v>
    <v>1993</v>
  </rv>
  <rv s="4">
    <v>1376</v>
  </rv>
  <rv s="0">
    <v>https://www.bing.com/financeapi/forcetrigger?t=a1swsm&amp;q=XNYS%3aFIS&amp;form=skydnc</v>
    <v>Learn more on Bing</v>
  </rv>
  <rv s="5">
    <v>en-CA</v>
    <v>a1swsm</v>
    <v>268435456</v>
    <v>1</v>
    <v>Powered by Refinitiv</v>
    <v>7</v>
    <v>FIDELITY NATIONAL INFORMATION SERVICES, INC. (XNYS:FIS)</v>
    <v>8</v>
    <v>9</v>
    <v>Finance</v>
    <v>5</v>
    <v>91.98</v>
    <v>66.510000000000005</v>
    <v>1.0817000000000001</v>
    <v>-0.12</v>
    <v>1.4063000000000001E-2</v>
    <v>-1.5319999999999999E-3</v>
    <v>1.1000000000000001</v>
    <v>USD</v>
    <v>Fidelity National Information Services, Inc. is a financial technology company providing solutions to financial institutions, businesses and developers. The Company's segments include Banking Solutions (Banking), Capital Market Solutions (Capital Markets) and Corporate and Other. The Banking segment is focused on serving financial institutions with core processing software, transaction processing software and complementary applications and services, many of which interact directly with core processing software. The Company sells these solutions on either a bundled or stand-alone basis. The Capital Markets segment is focused on serving global financial services clients and corporations with an array of buy- and sell-side, treasury, risk management and lending solutions. Its solutions include a variety of mission-critical buy- and sell-side applications for recordkeeping, data and analytics, trading and financing, as well as corporate treasury and risk management applications.</v>
    <v>50000</v>
    <v>New York Stock Exchange</v>
    <v>XNYS</v>
    <v>XNYS</v>
    <v>347 Riverside Avenue, JACKSONVILLE, FL, 32202 US</v>
    <v>78.56</v>
    <v>Financial Technology (Fintech) &amp; Infrastructure</v>
    <v>Stock</v>
    <v>45800.958333356248</v>
    <v>1378</v>
    <v>77.209999999999994</v>
    <v>41096400000</v>
    <v>FIDELITY NATIONAL INFORMATION SERVICES, INC.</v>
    <v>FIDELITY NATIONAL INFORMATION SERVICES, INC.</v>
    <v>77.819999999999993</v>
    <v>49.1068</v>
    <v>78.34</v>
    <v>78.22</v>
    <v>79.319999999999993</v>
    <v>525395000</v>
    <v>FIS</v>
    <v>FIDELITY NATIONAL INFORMATION SERVICES, INC. (XNYS:FIS)</v>
    <v>1696779</v>
    <v>4517314</v>
    <v>2001</v>
  </rv>
  <rv s="4">
    <v>1379</v>
  </rv>
</rvData>
</file>

<file path=xl/richData/rdrichvaluestructure.xml><?xml version="1.0" encoding="utf-8"?>
<rvStructures xmlns="http://schemas.microsoft.com/office/spreadsheetml/2017/richdata" count="17">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error">
    <k n="errorType" t="i"/>
    <k n="field" t="s"/>
    <k n="subType" t="i"/>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12">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0">
      <v t="s">%EntityServiceId</v>
      <v t="s">_Format</v>
      <v t="s">%IsRefreshable</v>
      <v t="s">%EntityCulture</v>
      <v t="s">%EntityId</v>
      <v t="s">_Icon</v>
      <v t="s">_Display</v>
      <v t="s">Name</v>
      <v t="s">Price</v>
      <v t="s">Exchange</v>
      <v t="s">Official name</v>
      <v t="s">_SubLabel</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spbArrays>
  <spbData count="41">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v>
      <v>GMT</v>
      <v>Delayed 15 minutes</v>
      <v>from close</v>
      <v>from close</v>
    </spb>
    <spb s="6">
      <v>Powered by Refinitiv</v>
    </spb>
    <spb s="0">
      <v>1</v>
      <v>Name</v>
      <v>LearnMoreOnLink</v>
    </spb>
    <spb s="7">
      <v>2</v>
      <v>2</v>
      <v>2</v>
      <v>2</v>
    </spb>
    <spb s="8">
      <v>1</v>
      <v>2</v>
      <v>2</v>
      <v>1</v>
      <v>3</v>
      <v>1</v>
      <v>1</v>
      <v>1</v>
      <v>5</v>
      <v>5</v>
      <v>6</v>
      <v>7</v>
      <v>1</v>
      <v>1</v>
      <v>1</v>
      <v>5</v>
      <v>8</v>
      <v>9</v>
      <v>10</v>
      <v>5</v>
      <v>1</v>
      <v>1</v>
      <v>6</v>
    </spb>
    <spb s="0">
      <v>2</v>
      <v>Name</v>
      <v>LearnMoreOnLink</v>
    </spb>
    <spb s="9">
      <v>1</v>
      <v>2</v>
      <v>1</v>
      <v>3</v>
      <v>1</v>
      <v>1</v>
      <v>1</v>
      <v>5</v>
      <v>5</v>
      <v>6</v>
      <v>7</v>
      <v>1</v>
      <v>1</v>
      <v>1</v>
      <v>5</v>
      <v>8</v>
      <v>9</v>
      <v>10</v>
      <v>5</v>
      <v>1</v>
      <v>1</v>
      <v>6</v>
    </spb>
    <spb s="0">
      <v>3</v>
      <v>Name</v>
      <v>LearnMoreOnLink</v>
    </spb>
    <spb s="10">
      <v>2</v>
      <v>2</v>
      <v>2</v>
    </spb>
    <spb s="11">
      <v>11</v>
      <v>2</v>
      <v>11</v>
      <v>3</v>
      <v>11</v>
      <v>11</v>
      <v>11</v>
      <v>5</v>
      <v>6</v>
      <v>12</v>
      <v>11</v>
      <v>11</v>
      <v>6</v>
      <v>11</v>
      <v>8</v>
      <v>10</v>
    </spb>
    <spb s="12">
      <v>Delayed 20 minutes</v>
      <v>from previous close</v>
      <v>from previous close</v>
      <v>GMT</v>
    </spb>
    <spb s="0">
      <v>4</v>
      <v>Name</v>
      <v>LearnMoreOnLink</v>
    </spb>
    <spb s="13">
      <v>1</v>
      <v>2</v>
      <v>1</v>
      <v>3</v>
      <v>1</v>
      <v>1</v>
      <v>1</v>
      <v>5</v>
      <v>5</v>
      <v>6</v>
      <v>7</v>
      <v>1</v>
      <v>1</v>
      <v>1</v>
      <v>5</v>
      <v>8</v>
      <v>9</v>
      <v>10</v>
      <v>5</v>
      <v>1</v>
      <v>1</v>
      <v>6</v>
    </spb>
    <spb s="8">
      <v>1</v>
      <v>2</v>
      <v>2</v>
      <v>1</v>
      <v>3</v>
      <v>1</v>
      <v>1</v>
      <v>1</v>
      <v>5</v>
      <v>5</v>
      <v>6</v>
      <v>12</v>
      <v>1</v>
      <v>1</v>
      <v>1</v>
      <v>5</v>
      <v>8</v>
      <v>9</v>
      <v>10</v>
      <v>5</v>
      <v>1</v>
      <v>1</v>
      <v>6</v>
    </spb>
    <spb s="9">
      <v>1</v>
      <v>2</v>
      <v>1</v>
      <v>3</v>
      <v>1</v>
      <v>1</v>
      <v>1</v>
      <v>5</v>
      <v>5</v>
      <v>6</v>
      <v>12</v>
      <v>1</v>
      <v>1</v>
      <v>1</v>
      <v>5</v>
      <v>8</v>
      <v>9</v>
      <v>10</v>
      <v>5</v>
      <v>1</v>
      <v>1</v>
      <v>6</v>
    </spb>
    <spb s="8">
      <v>11</v>
      <v>2</v>
      <v>2</v>
      <v>11</v>
      <v>3</v>
      <v>11</v>
      <v>11</v>
      <v>11</v>
      <v>5</v>
      <v>5</v>
      <v>6</v>
      <v>12</v>
      <v>11</v>
      <v>11</v>
      <v>11</v>
      <v>5</v>
      <v>8</v>
      <v>9</v>
      <v>10</v>
      <v>5</v>
      <v>11</v>
      <v>11</v>
      <v>6</v>
    </spb>
    <spb s="14">
      <v>at close</v>
      <v>from previous close</v>
      <v>from previous close</v>
      <v>GMT</v>
      <v>Delayed 20 minutes</v>
      <v>from close</v>
      <v>from close</v>
    </spb>
    <spb s="0">
      <v>5</v>
      <v>Name</v>
      <v>LearnMoreOnLink</v>
    </spb>
    <spb s="15">
      <v>1</v>
      <v>2</v>
      <v>1</v>
      <v>3</v>
      <v>1</v>
      <v>1</v>
      <v>1</v>
      <v>5</v>
      <v>6</v>
      <v>7</v>
      <v>1</v>
      <v>1</v>
      <v>6</v>
      <v>1</v>
      <v>5</v>
      <v>8</v>
      <v>10</v>
      <v>1</v>
      <v>1</v>
      <v>6</v>
    </spb>
    <spb s="16">
      <v>at close</v>
      <v>from previous close</v>
      <v>Source: Nasdaq</v>
      <v>from previous close</v>
      <v>GMT</v>
      <v>Delayed 15 minutes</v>
      <v>from close</v>
      <v>from close</v>
    </spb>
    <spb s="17">
      <v>6</v>
      <v>Name</v>
    </spb>
    <spb s="18">
      <v>2</v>
      <v>2</v>
      <v>2</v>
    </spb>
    <spb s="19">
      <v>11</v>
      <v>11</v>
      <v>3</v>
      <v>11</v>
      <v>11</v>
      <v>11</v>
      <v>5</v>
      <v>6</v>
      <v>12</v>
      <v>11</v>
      <v>11</v>
      <v>11</v>
      <v>5</v>
      <v>8</v>
      <v>9</v>
      <v>10</v>
      <v>5</v>
    </spb>
    <spb s="12">
      <v>Delayed 15 minutes</v>
      <v>from previous close</v>
      <v>from previous close</v>
      <v>GMT</v>
    </spb>
    <spb s="17">
      <v>7</v>
      <v>Name</v>
    </spb>
    <spb s="20">
      <v>13</v>
      <v>2</v>
      <v>2</v>
      <v>13</v>
      <v>3</v>
      <v>13</v>
      <v>13</v>
      <v>13</v>
      <v>5</v>
      <v>5</v>
      <v>6</v>
      <v>7</v>
      <v>13</v>
      <v>13</v>
      <v>13</v>
      <v>5</v>
      <v>8</v>
      <v>9</v>
      <v>10</v>
      <v>5</v>
    </spb>
    <spb s="21">
      <v>Delayed 15 minutes</v>
      <v>from previous close</v>
      <v>from previous close</v>
      <v>Borsa Italia</v>
      <v>GMT</v>
    </spb>
    <spb s="17">
      <v>8</v>
      <v>Name</v>
    </spb>
    <spb s="17">
      <v>9</v>
      <v>Name</v>
    </spb>
    <spb s="22">
      <v>11</v>
      <v>2</v>
      <v>11</v>
      <v>3</v>
      <v>11</v>
      <v>11</v>
      <v>11</v>
      <v>5</v>
      <v>5</v>
      <v>6</v>
      <v>12</v>
      <v>11</v>
      <v>11</v>
      <v>11</v>
      <v>5</v>
      <v>8</v>
      <v>9</v>
      <v>10</v>
      <v>5</v>
    </spb>
    <spb s="23">
      <v>from previous close</v>
      <v>from previous close</v>
      <v>GMT</v>
    </spb>
    <spb s="14">
      <v>at close</v>
      <v>from previous close</v>
      <v>from previous close</v>
      <v>GMT</v>
      <v>BATS BZX Real-Time Last Price</v>
      <v>from close</v>
      <v>from close</v>
    </spb>
    <spb s="0">
      <v>10</v>
      <v>Name</v>
      <v>LearnMoreOnLink</v>
    </spb>
    <spb s="24">
      <v>1</v>
      <v>2</v>
      <v>2</v>
      <v>1</v>
      <v>3</v>
      <v>1</v>
      <v>1</v>
      <v>1</v>
      <v>5</v>
      <v>5</v>
      <v>6</v>
      <v>7</v>
      <v>1</v>
      <v>1</v>
      <v>1</v>
      <v>5</v>
      <v>8</v>
      <v>10</v>
      <v>5</v>
      <v>1</v>
      <v>1</v>
      <v>6</v>
    </spb>
    <spb s="0">
      <v>11</v>
      <v>Name</v>
      <v>LearnMoreOnLink</v>
    </spb>
    <spb s="22">
      <v>14</v>
      <v>2</v>
      <v>14</v>
      <v>3</v>
      <v>14</v>
      <v>14</v>
      <v>14</v>
      <v>5</v>
      <v>5</v>
      <v>6</v>
      <v>15</v>
      <v>14</v>
      <v>14</v>
      <v>14</v>
      <v>5</v>
      <v>8</v>
      <v>9</v>
      <v>10</v>
      <v>5</v>
    </spb>
  </spbData>
</supportingPropertyBags>
</file>

<file path=xl/richData/rdsupportingpropertybagstructure.xml><?xml version="1.0" encoding="utf-8"?>
<spbStructures xmlns="http://schemas.microsoft.com/office/spreadsheetml/2017/richdata2" count="25">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ExchangeID" t="spb"/>
    <k n="UniqueName" t="spb"/>
    <k n="`%ProviderInfo" t="spb"/>
  </s>
  <s>
    <k n="Low"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yyyy/mm/dd\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Sty dxfid="1">
      <rpv i="0">_-[$$-en-CA]* #,##0.00_-;-[$$-en-CA]* #,##0.00_-;_-[$$-en-CA]* "-"??_-;_-@_-</rpv>
    </rSty>
    <rSty dxfid="1">
      <rpv i="0">_-[$$-en-CA]* #,##0_-;-[$$-en-CA]* #,##0_-;_-[$$-en-CA]* "-"_-;_-@_-</rpv>
    </rSty>
    <rSty dxfid="1">
      <rpv i="0">_([$€-x-euro2] * #,##0.00_);_([$€-x-euro2] * (#,##0.00);_([$€-x-euro2] * "-"??_);_(@_)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26FE8-C1FE-4744-BD0C-B0560777D4B8}" name="Table1" displayName="Table1" ref="A1:K55" totalsRowShown="0" headerRowDxfId="12" dataDxfId="11">
  <autoFilter ref="A1:K55" xr:uid="{9D226FE8-C1FE-4744-BD0C-B0560777D4B8}"/>
  <tableColumns count="11">
    <tableColumn id="1" xr3:uid="{4010644C-8A4F-43BF-BAD8-1594C7966C28}" name="Name" dataDxfId="10">
      <calculatedColumnFormula array="1">_FV(B2,"Name")</calculatedColumnFormula>
    </tableColumn>
    <tableColumn id="2" xr3:uid="{85323042-FE98-459B-91F1-B4E0BAEEAA09}" name="Symbol " dataDxfId="9"/>
    <tableColumn id="3" xr3:uid="{0DFD047C-C2C8-4371-B8CE-F19F2002C560}" name="Change%" dataDxfId="8">
      <calculatedColumnFormula array="1">_FV(B2,"Change (%)",TRUE)</calculatedColumnFormula>
    </tableColumn>
    <tableColumn id="4" xr3:uid="{7E230FA8-3A5C-4579-B41C-6F8EEA6A9DC0}" name="Beta" dataDxfId="7">
      <calculatedColumnFormula array="1">_FV(B2,"Beta")</calculatedColumnFormula>
    </tableColumn>
    <tableColumn id="5" xr3:uid="{238CF852-D5D9-484A-9CA2-8E086929C783}" name="Industry" dataDxfId="6">
      <calculatedColumnFormula array="1">_FV(Table1[[#This Row],[Symbol ]],"Industry")</calculatedColumnFormula>
    </tableColumn>
    <tableColumn id="6" xr3:uid="{37D7663A-C70E-495A-B7EB-C535C0DD927A}" name="P/E" dataDxfId="5">
      <calculatedColumnFormula array="1">_FV(Table1[[#This Row],[Symbol ]],"P/E",TRUE)</calculatedColumnFormula>
    </tableColumn>
    <tableColumn id="7" xr3:uid="{FB35E65B-B50C-4AA2-9685-8EDEDAB84922}" name="Volume average" dataDxfId="4">
      <calculatedColumnFormula array="1">_FV(Table1[[#This Row],[Symbol ]],"Volume average",TRUE)</calculatedColumnFormula>
    </tableColumn>
    <tableColumn id="8" xr3:uid="{805C3244-8057-4DA2-95B5-5E7EF6374677}" name="Volume" dataDxfId="3">
      <calculatedColumnFormula array="1">_FV(Table1[[#This Row],[Symbol ]],"Volume")</calculatedColumnFormula>
    </tableColumn>
    <tableColumn id="9" xr3:uid="{F90D2E2D-F298-440B-B3FB-BF3BEDB215B3}" name="Market cap" dataDxfId="2">
      <calculatedColumnFormula array="1">_FV(Table1[[#This Row],[Symbol ]],"Market cap",TRUE)</calculatedColumnFormula>
    </tableColumn>
    <tableColumn id="10" xr3:uid="{D2582E1A-C7C9-4156-ABC7-B0E48C70D0DE}" name="Price" dataDxfId="1">
      <calculatedColumnFormula array="1">_FV(Table1[[#This Row],[Symbol ]],"Price")</calculatedColumnFormula>
    </tableColumn>
    <tableColumn id="12" xr3:uid="{F8EA57D5-CA06-4884-8DC5-82526DAC8282}" name="Instrument type" dataDxfId="0">
      <calculatedColumnFormula array="1">_FV(Table1[[#This Row],[Symbol ]],"Instrument type",TRUE)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0B4474B5-AEE4-49BD-A255-556F34A03DD1}">
  <we:reference id="wa200007447" version="1.0.0.0" store="en-US"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List>
    </a:ext>
  </we:extLst>
</we:webextension>
</file>

<file path=xl/webextensions/webextension2.xml><?xml version="1.0" encoding="utf-8"?>
<we:webextension xmlns:we="http://schemas.microsoft.com/office/webextensions/webextension/2010/11" id="{C64F6967-5CBC-4D2F-A8BA-52D0C94D4E8B}">
  <we:reference id="wa104379220" version="8.0.0.0" store="en-US" storeType="OMEX"/>
  <we:alternateReferences>
    <we:reference id="wa104379220" version="8.0.0.0" store="wa104379220" storeType="OMEX"/>
  </we:alternateReferences>
  <we:properties>
    <we:property name="Office.AutoShowTaskpaneWithDocument" value="true"/>
    <we:property name="lastCryptoCompare" value="0"/>
    <we:property name="lastIexCall" value="1733603261022"/>
    <we:property name="lastInfo" value="{&quot;AAPL&quot;:{&quot;time&quot;:1733603256619,&quot;updateTime&quot;:1733518860000,&quot;price&quot;:&quot;242.84&quot;,&quot;name&quot;:&quot;Apple Inc&quot;,&quot;prevClose&quot;:243.03442754203363}}"/>
    <we:property name="lastMutualFundsCall" value="0"/>
    <we:property name="stocks" value="{}"/>
    <we:property name="stocksChange" value="{}"/>
    <we:property name="stocksOrder" value="[]"/>
    <we:property name="stocksSources" value="{}"/>
    <we:property name="updateIntervalIndex" value="2"/>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4EC14-3AE1-4921-AD9A-E047D775E802}">
  <sheetPr codeName="Sheet1"/>
  <dimension ref="A1:L55"/>
  <sheetViews>
    <sheetView zoomScale="70" zoomScaleNormal="70" workbookViewId="0">
      <selection activeCell="E14" sqref="E14"/>
    </sheetView>
  </sheetViews>
  <sheetFormatPr defaultColWidth="8.88671875" defaultRowHeight="21" x14ac:dyDescent="0.4"/>
  <cols>
    <col min="1" max="1" width="56.88671875" style="11" bestFit="1" customWidth="1"/>
    <col min="2" max="2" width="27.6640625" style="11" customWidth="1"/>
    <col min="3" max="3" width="18.33203125" style="11" customWidth="1"/>
    <col min="4" max="4" width="17.44140625" style="11" customWidth="1"/>
    <col min="5" max="5" width="44.5546875" style="11" customWidth="1"/>
    <col min="6" max="6" width="12.5546875" style="11" customWidth="1"/>
    <col min="7" max="7" width="25.33203125" style="11" bestFit="1" customWidth="1"/>
    <col min="8" max="8" width="17.44140625" style="11" bestFit="1" customWidth="1"/>
    <col min="9" max="9" width="29.33203125" style="11" bestFit="1" customWidth="1"/>
    <col min="10" max="10" width="13.5546875" style="11" bestFit="1" customWidth="1"/>
    <col min="11" max="11" width="24.6640625" style="11" bestFit="1" customWidth="1"/>
    <col min="12" max="12" width="25" style="11" bestFit="1" customWidth="1"/>
    <col min="13" max="16384" width="8.88671875" style="11"/>
  </cols>
  <sheetData>
    <row r="1" spans="1:12" ht="20.399999999999999" customHeight="1" x14ac:dyDescent="0.4">
      <c r="A1" s="22" t="s">
        <v>0</v>
      </c>
      <c r="B1" s="22" t="s">
        <v>1</v>
      </c>
      <c r="C1" s="22" t="s">
        <v>2</v>
      </c>
      <c r="D1" s="22" t="s">
        <v>3</v>
      </c>
      <c r="E1" s="22" t="s">
        <v>4</v>
      </c>
      <c r="F1" s="22" t="s">
        <v>5</v>
      </c>
      <c r="G1" s="22" t="s">
        <v>6</v>
      </c>
      <c r="H1" s="22" t="s">
        <v>7</v>
      </c>
      <c r="I1" s="22" t="s">
        <v>8</v>
      </c>
      <c r="J1" s="22" t="s">
        <v>13</v>
      </c>
      <c r="K1" s="22" t="s">
        <v>953</v>
      </c>
      <c r="L1" s="22" t="s">
        <v>952</v>
      </c>
    </row>
    <row r="2" spans="1:12" x14ac:dyDescent="0.4">
      <c r="A2" s="13" t="str" cm="1">
        <f t="array" aca="1" ref="A2" ca="1">_FV(B2,"Name")</f>
        <v>MICROSOFT CORPORATION</v>
      </c>
      <c r="B2" s="13" t="e" vm="1">
        <v>#VALUE!</v>
      </c>
      <c r="C2" s="14" cm="1">
        <f t="array" aca="1" ref="C2" ca="1">_FV(B2,"Change (%)",TRUE)</f>
        <v>-1.0289E-2</v>
      </c>
      <c r="D2" s="15" cm="1">
        <f t="array" aca="1" ref="D2" ca="1">_FV(B2,"Beta")</f>
        <v>1.0139</v>
      </c>
      <c r="E2" s="13" t="str" cm="1">
        <f t="array" aca="1" ref="E2" ca="1">_FV(Table1[[#This Row],[Symbol ]],"Industry")</f>
        <v>Software &amp; IT Services</v>
      </c>
      <c r="F2" s="15" cm="1">
        <f t="array" aca="1" ref="F2" ca="1">_FV(Table1[[#This Row],[Symbol ]],"P/E",TRUE)</f>
        <v>35.152900000000002</v>
      </c>
      <c r="G2" s="16" cm="1">
        <f t="array" aca="1" ref="G2" ca="1">_FV(Table1[[#This Row],[Symbol ]],"Volume average",TRUE)</f>
        <v>22577720</v>
      </c>
      <c r="H2" s="16" cm="1">
        <f t="array" aca="1" ref="H2" ca="1">_FV(Table1[[#This Row],[Symbol ]],"Volume")</f>
        <v>16883509</v>
      </c>
      <c r="I2" s="17" cm="1">
        <f t="array" aca="1" ref="I2" ca="1">_FV(Table1[[#This Row],[Symbol ]],"Market cap",TRUE)</f>
        <v>3345983000000</v>
      </c>
      <c r="J2" s="20" cm="1">
        <f t="array" aca="1" ref="J2" ca="1">_FV(Table1[[#This Row],[Symbol ]],"Price")</f>
        <v>450.18</v>
      </c>
      <c r="K2" s="13" t="str" cm="1">
        <f t="array" aca="1" ref="K2" ca="1">_FV(Table1[[#This Row],[Symbol ]],"Instrument type",TRUE)</f>
        <v>Stock</v>
      </c>
      <c r="L2" s="23"/>
    </row>
    <row r="3" spans="1:12" x14ac:dyDescent="0.4">
      <c r="A3" s="13" t="str" cm="1">
        <f t="array" aca="1" ref="A3" ca="1">_FV(B3,"Name")</f>
        <v>Best Buy Co., Inc.</v>
      </c>
      <c r="B3" s="13" t="e" vm="2">
        <v>#VALUE!</v>
      </c>
      <c r="C3" s="14" cm="1">
        <f t="array" aca="1" ref="C3" ca="1">_FV(B3,"Change (%)",TRUE)</f>
        <v>-1.1871E-2</v>
      </c>
      <c r="D3" s="15" cm="1">
        <f t="array" aca="1" ref="D3" ca="1">_FV(B3,"Beta")</f>
        <v>1.3051999999999999</v>
      </c>
      <c r="E3" s="13" t="str" cm="1">
        <f t="array" aca="1" ref="E3" ca="1">_FV(Table1[[#This Row],[Symbol ]],"Industry")</f>
        <v>Specialty Retailers</v>
      </c>
      <c r="F3" s="15" cm="1">
        <f t="array" aca="1" ref="F3" ca="1">_FV(Table1[[#This Row],[Symbol ]],"P/E",TRUE)</f>
        <v>16.542400000000001</v>
      </c>
      <c r="G3" s="16" cm="1">
        <f t="array" aca="1" ref="G3" ca="1">_FV(Table1[[#This Row],[Symbol ]],"Volume average",TRUE)</f>
        <v>3302801</v>
      </c>
      <c r="H3" s="16" cm="1">
        <f t="array" aca="1" ref="H3" ca="1">_FV(Table1[[#This Row],[Symbol ]],"Volume")</f>
        <v>3591184</v>
      </c>
      <c r="I3" s="17" cm="1">
        <f t="array" aca="1" ref="I3" ca="1">_FV(Table1[[#This Row],[Symbol ]],"Market cap",TRUE)</f>
        <v>14801050000</v>
      </c>
      <c r="J3" s="20" cm="1">
        <f t="array" aca="1" ref="J3" ca="1">_FV(Table1[[#This Row],[Symbol ]],"Price")</f>
        <v>69.92</v>
      </c>
      <c r="K3" s="13" t="str" cm="1">
        <f t="array" aca="1" ref="K3" ca="1">_FV(Table1[[#This Row],[Symbol ]],"Instrument type",TRUE)</f>
        <v>Stock</v>
      </c>
      <c r="L3" s="23"/>
    </row>
    <row r="4" spans="1:12" x14ac:dyDescent="0.4">
      <c r="A4" s="13" t="str" cm="1">
        <f t="array" aca="1" ref="A4" ca="1">_FV(B4,"Name")</f>
        <v>COURSERA, INC.</v>
      </c>
      <c r="B4" s="13" t="e" vm="3">
        <v>#VALUE!</v>
      </c>
      <c r="C4" s="14" cm="1">
        <f t="array" aca="1" ref="C4" ca="1">_FV(B4,"Change (%)",TRUE)</f>
        <v>-9.356999999999999E-3</v>
      </c>
      <c r="D4" s="15" cm="1">
        <f t="array" aca="1" ref="D4" ca="1">_FV(B4,"Beta")</f>
        <v>1.3751</v>
      </c>
      <c r="E4" s="13" t="str" cm="1">
        <f t="array" aca="1" ref="E4" ca="1">_FV(Table1[[#This Row],[Symbol ]],"Industry")</f>
        <v>Software &amp; IT Services</v>
      </c>
      <c r="F4" s="18" t="e" cm="1" vm="4">
        <f t="array" ref="F4">_FV(Table1[[#This Row],[Symbol ]],"P/E",TRUE)</f>
        <v>#VALUE!</v>
      </c>
      <c r="G4" s="16" cm="1">
        <f t="array" aca="1" ref="G4" ca="1">_FV(Table1[[#This Row],[Symbol ]],"Volume average",TRUE)</f>
        <v>2181032</v>
      </c>
      <c r="H4" s="16" cm="1">
        <f t="array" aca="1" ref="H4" ca="1">_FV(Table1[[#This Row],[Symbol ]],"Volume")</f>
        <v>1384022</v>
      </c>
      <c r="I4" s="17" cm="1">
        <f t="array" aca="1" ref="I4" ca="1">_FV(Table1[[#This Row],[Symbol ]],"Market cap",TRUE)</f>
        <v>1367058000</v>
      </c>
      <c r="J4" s="20" cm="1">
        <f t="array" aca="1" ref="J4" ca="1">_FV(Table1[[#This Row],[Symbol ]],"Price")</f>
        <v>8.4700000000000006</v>
      </c>
      <c r="K4" s="13" t="str" cm="1">
        <f t="array" aca="1" ref="K4" ca="1">_FV(Table1[[#This Row],[Symbol ]],"Instrument type",TRUE)</f>
        <v>Stock</v>
      </c>
      <c r="L4" s="24">
        <v>45862</v>
      </c>
    </row>
    <row r="5" spans="1:12" x14ac:dyDescent="0.4">
      <c r="A5" s="13" t="str" cm="1">
        <f t="array" aca="1" ref="A5" ca="1">_FV(B5,"Name")</f>
        <v>Vanguard S&amp;P 500 Index ETF</v>
      </c>
      <c r="B5" s="13" t="e" vm="5">
        <v>#VALUE!</v>
      </c>
      <c r="C5" s="14" cm="1">
        <f t="array" aca="1" ref="C5" ca="1">_FV(B5,"Change (%)",TRUE)</f>
        <v>1.5344999999999999E-2</v>
      </c>
      <c r="D5" s="15" cm="1">
        <f t="array" aca="1" ref="D5" ca="1">_FV(B5,"Beta")</f>
        <v>0.97829999999999995</v>
      </c>
      <c r="E5" s="13" t="s">
        <v>9</v>
      </c>
      <c r="F5" s="18" t="e" cm="1" vm="4">
        <f t="array" ref="F5">_FV(Table1[[#This Row],[Symbol ]],"P/E",TRUE)</f>
        <v>#VALUE!</v>
      </c>
      <c r="G5" s="18" t="e" cm="1" vm="6">
        <f t="array" ref="G5">_FV(Table1[[#This Row],[Symbol ]],"Volume average",TRUE)</f>
        <v>#VALUE!</v>
      </c>
      <c r="H5" s="16" cm="1">
        <f t="array" aca="1" ref="H5" ca="1">_FV(Table1[[#This Row],[Symbol ]],"Volume")</f>
        <v>108977</v>
      </c>
      <c r="I5" s="19" cm="1">
        <f t="array" aca="1" ref="I5" ca="1">_FV(Table1[[#This Row],[Symbol ]],"Market cap",TRUE)</f>
        <v>20606442711.279999</v>
      </c>
      <c r="J5" s="21" cm="1">
        <f t="array" aca="1" ref="J5" ca="1">_FV(Table1[[#This Row],[Symbol ]],"Price")</f>
        <v>143.58000000000001</v>
      </c>
      <c r="K5" s="13" t="str" cm="1">
        <f t="array" aca="1" ref="K5" ca="1">_FV(Table1[[#This Row],[Symbol ]],"Instrument type",TRUE)</f>
        <v>ETF</v>
      </c>
      <c r="L5" s="23"/>
    </row>
    <row r="6" spans="1:12" x14ac:dyDescent="0.4">
      <c r="A6" s="13" t="str" cm="1">
        <f t="array" aca="1" ref="A6" ca="1">_FV(B6,"Name")</f>
        <v>NVIDIA CORPORATION</v>
      </c>
      <c r="B6" s="13" t="e" vm="7">
        <v>#VALUE!</v>
      </c>
      <c r="C6" s="14" cm="1">
        <f t="array" aca="1" ref="C6" ca="1">_FV(B6,"Change (%)",TRUE)</f>
        <v>-1.1594E-2</v>
      </c>
      <c r="D6" s="15" cm="1">
        <f t="array" aca="1" ref="D6" ca="1">_FV(B6,"Beta")</f>
        <v>2.1101999999999999</v>
      </c>
      <c r="E6" s="13" t="str" cm="1">
        <f t="array" aca="1" ref="E6" ca="1">_FV(Table1[[#This Row],[Symbol ]],"Industry")</f>
        <v>Semiconductors &amp; Semiconductor Equipment</v>
      </c>
      <c r="F6" s="15" cm="1">
        <f t="array" aca="1" ref="F6" ca="1">_FV(Table1[[#This Row],[Symbol ]],"P/E",TRUE)</f>
        <v>45.188099999999999</v>
      </c>
      <c r="G6" s="16" cm="1">
        <f t="array" aca="1" ref="G6" ca="1">_FV(Table1[[#This Row],[Symbol ]],"Volume average",TRUE)</f>
        <v>220571620</v>
      </c>
      <c r="H6" s="16" cm="1">
        <f t="array" aca="1" ref="H6" ca="1">_FV(Table1[[#This Row],[Symbol ]],"Volume")</f>
        <v>198821324</v>
      </c>
      <c r="I6" s="17" cm="1">
        <f t="array" aca="1" ref="I6" ca="1">_FV(Table1[[#This Row],[Symbol ]],"Market cap",TRUE)</f>
        <v>3201842000000</v>
      </c>
      <c r="J6" s="20" cm="1">
        <f t="array" aca="1" ref="J6" ca="1">_FV(Table1[[#This Row],[Symbol ]],"Price")</f>
        <v>131.29</v>
      </c>
      <c r="K6" s="13" t="str" cm="1">
        <f t="array" aca="1" ref="K6" ca="1">_FV(Table1[[#This Row],[Symbol ]],"Instrument type",TRUE)</f>
        <v>Stock</v>
      </c>
      <c r="L6" s="24"/>
    </row>
    <row r="7" spans="1:12" x14ac:dyDescent="0.4">
      <c r="A7" s="13" t="str" cm="1">
        <f t="array" aca="1" ref="A7" ca="1">_FV(B7,"Name")</f>
        <v>RTX CORPORATION</v>
      </c>
      <c r="B7" s="13" t="e" vm="8">
        <v>#VALUE!</v>
      </c>
      <c r="C7" s="14" cm="1">
        <f t="array" aca="1" ref="C7" ca="1">_FV(B7,"Change (%)",TRUE)</f>
        <v>-7.7969999999999992E-3</v>
      </c>
      <c r="D7" s="15" cm="1">
        <f t="array" aca="1" ref="D7" ca="1">_FV(B7,"Beta")</f>
        <v>0.6038</v>
      </c>
      <c r="E7" s="13" t="str" cm="1">
        <f t="array" aca="1" ref="E7" ca="1">_FV(Table1[[#This Row],[Symbol ]],"Industry")</f>
        <v>Aerospace &amp; Defense</v>
      </c>
      <c r="F7" s="15" cm="1">
        <f t="array" aca="1" ref="F7" ca="1">_FV(Table1[[#This Row],[Symbol ]],"P/E",TRUE)</f>
        <v>39.114199999999997</v>
      </c>
      <c r="G7" s="16" cm="1">
        <f t="array" aca="1" ref="G7" ca="1">_FV(Table1[[#This Row],[Symbol ]],"Volume average",TRUE)</f>
        <v>5583612</v>
      </c>
      <c r="H7" s="16" cm="1">
        <f t="array" aca="1" ref="H7" ca="1">_FV(Table1[[#This Row],[Symbol ]],"Volume")</f>
        <v>5510145</v>
      </c>
      <c r="I7" s="17" cm="1">
        <f t="array" aca="1" ref="I7" ca="1">_FV(Table1[[#This Row],[Symbol ]],"Market cap",TRUE)</f>
        <v>176813500000</v>
      </c>
      <c r="J7" s="20" cm="1">
        <f t="array" aca="1" ref="J7" ca="1">_FV(Table1[[#This Row],[Symbol ]],"Price")</f>
        <v>132.35</v>
      </c>
      <c r="K7" s="13" t="str" cm="1">
        <f t="array" aca="1" ref="K7" ca="1">_FV(Table1[[#This Row],[Symbol ]],"Instrument type",TRUE)</f>
        <v>Stock</v>
      </c>
      <c r="L7" s="23"/>
    </row>
    <row r="8" spans="1:12" x14ac:dyDescent="0.4">
      <c r="A8" s="13" t="str" cm="1">
        <f t="array" aca="1" ref="A8" ca="1">_FV(B8,"Name")</f>
        <v>WALMART INC.</v>
      </c>
      <c r="B8" s="13" t="e" vm="9">
        <v>#VALUE!</v>
      </c>
      <c r="C8" s="14" cm="1">
        <f t="array" aca="1" ref="C8" ca="1">_FV(B8,"Change (%)",TRUE)</f>
        <v>4.274E-3</v>
      </c>
      <c r="D8" s="15" cm="1">
        <f t="array" aca="1" ref="D8" ca="1">_FV(B8,"Beta")</f>
        <v>0.69259999999999999</v>
      </c>
      <c r="E8" s="13" t="str" cm="1">
        <f t="array" aca="1" ref="E8" ca="1">_FV(Table1[[#This Row],[Symbol ]],"Industry")</f>
        <v>Food &amp; Drug Retailing</v>
      </c>
      <c r="F8" s="15" cm="1">
        <f t="array" aca="1" ref="F8" ca="1">_FV(Table1[[#This Row],[Symbol ]],"P/E",TRUE)</f>
        <v>41.153300000000002</v>
      </c>
      <c r="G8" s="16" cm="1">
        <f t="array" aca="1" ref="G8" ca="1">_FV(Table1[[#This Row],[Symbol ]],"Volume average",TRUE)</f>
        <v>18240261</v>
      </c>
      <c r="H8" s="16" cm="1">
        <f t="array" aca="1" ref="H8" ca="1">_FV(Table1[[#This Row],[Symbol ]],"Volume")</f>
        <v>13668621</v>
      </c>
      <c r="I8" s="17" cm="1">
        <f t="array" aca="1" ref="I8" ca="1">_FV(Table1[[#This Row],[Symbol ]],"Market cap",TRUE)</f>
        <v>770805400000</v>
      </c>
      <c r="J8" s="20" cm="1">
        <f t="array" aca="1" ref="J8" ca="1">_FV(Table1[[#This Row],[Symbol ]],"Price")</f>
        <v>96.34</v>
      </c>
      <c r="K8" s="13" t="str" cm="1">
        <f t="array" aca="1" ref="K8" ca="1">_FV(Table1[[#This Row],[Symbol ]],"Instrument type",TRUE)</f>
        <v>Stock</v>
      </c>
      <c r="L8" s="24"/>
    </row>
    <row r="9" spans="1:12" x14ac:dyDescent="0.4">
      <c r="A9" s="13" t="str" cm="1">
        <f t="array" aca="1" ref="A9" ca="1">_FV(B9,"Name")</f>
        <v>STARBUCKS CORPORATION</v>
      </c>
      <c r="B9" s="13" t="e" vm="10">
        <v>#VALUE!</v>
      </c>
      <c r="C9" s="14" cm="1">
        <f t="array" aca="1" ref="C9" ca="1">_FV(B9,"Change (%)",TRUE)</f>
        <v>5.1209999999999997E-3</v>
      </c>
      <c r="D9" s="15" cm="1">
        <f t="array" aca="1" ref="D9" ca="1">_FV(B9,"Beta")</f>
        <v>0.99360000000000004</v>
      </c>
      <c r="E9" s="13" t="str" cm="1">
        <f t="array" aca="1" ref="E9" ca="1">_FV(Table1[[#This Row],[Symbol ]],"Industry")</f>
        <v>Hotels &amp; Entertainment Services</v>
      </c>
      <c r="F9" s="15" cm="1">
        <f t="array" aca="1" ref="F9" ca="1">_FV(Table1[[#This Row],[Symbol ]],"P/E",TRUE)</f>
        <v>30.523299999999999</v>
      </c>
      <c r="G9" s="16" cm="1">
        <f t="array" aca="1" ref="G9" ca="1">_FV(Table1[[#This Row],[Symbol ]],"Volume average",TRUE)</f>
        <v>12196020</v>
      </c>
      <c r="H9" s="16" cm="1">
        <f t="array" aca="1" ref="H9" ca="1">_FV(Table1[[#This Row],[Symbol ]],"Volume")</f>
        <v>7088243</v>
      </c>
      <c r="I9" s="17" cm="1">
        <f t="array" aca="1" ref="I9" ca="1">_FV(Table1[[#This Row],[Symbol ]],"Market cap",TRUE)</f>
        <v>95912160000</v>
      </c>
      <c r="J9" s="20" cm="1">
        <f t="array" aca="1" ref="J9" ca="1">_FV(Table1[[#This Row],[Symbol ]],"Price")</f>
        <v>84.4</v>
      </c>
      <c r="K9" s="13" t="str" cm="1">
        <f t="array" aca="1" ref="K9" ca="1">_FV(Table1[[#This Row],[Symbol ]],"Instrument type",TRUE)</f>
        <v>Stock</v>
      </c>
      <c r="L9" s="24"/>
    </row>
    <row r="10" spans="1:12" x14ac:dyDescent="0.4">
      <c r="A10" s="13" t="str" cm="1">
        <f t="array" aca="1" ref="A10" ca="1">_FV(B10,"Name")</f>
        <v>INTERNATIONAL PAPER COMPANY</v>
      </c>
      <c r="B10" s="13" t="e" vm="11">
        <v>#VALUE!</v>
      </c>
      <c r="C10" s="14" cm="1">
        <f t="array" aca="1" ref="C10" ca="1">_FV(B10,"Change (%)",TRUE)</f>
        <v>-1.0339000000000001E-2</v>
      </c>
      <c r="D10" s="15" cm="1">
        <f t="array" aca="1" ref="D10" ca="1">_FV(B10,"Beta")</f>
        <v>1.0225</v>
      </c>
      <c r="E10" s="13" t="str" cm="1">
        <f t="array" aca="1" ref="E10" ca="1">_FV(Table1[[#This Row],[Symbol ]],"Industry")</f>
        <v>Containers &amp; Packaging</v>
      </c>
      <c r="F10" s="15" cm="1">
        <f t="array" aca="1" ref="F10" ca="1">_FV(Table1[[#This Row],[Symbol ]],"P/E",TRUE)</f>
        <v>41.062100000000001</v>
      </c>
      <c r="G10" s="16" cm="1">
        <f t="array" aca="1" ref="G10" ca="1">_FV(Table1[[#This Row],[Symbol ]],"Volume average",TRUE)</f>
        <v>4686718</v>
      </c>
      <c r="H10" s="16" cm="1">
        <f t="array" aca="1" ref="H10" ca="1">_FV(Table1[[#This Row],[Symbol ]],"Volume")</f>
        <v>2695759</v>
      </c>
      <c r="I10" s="17" cm="1">
        <f t="array" aca="1" ref="I10" ca="1">_FV(Table1[[#This Row],[Symbol ]],"Market cap",TRUE)</f>
        <v>25165060000</v>
      </c>
      <c r="J10" s="20" cm="1">
        <f t="array" aca="1" ref="J10" ca="1">_FV(Table1[[#This Row],[Symbol ]],"Price")</f>
        <v>47.67</v>
      </c>
      <c r="K10" s="13" t="str" cm="1">
        <f t="array" aca="1" ref="K10" ca="1">_FV(Table1[[#This Row],[Symbol ]],"Instrument type",TRUE)</f>
        <v>Stock</v>
      </c>
      <c r="L10" s="23"/>
    </row>
    <row r="11" spans="1:12" x14ac:dyDescent="0.4">
      <c r="A11" s="13" t="str" cm="1">
        <f t="array" aca="1" ref="A11" ca="1">_FV(B11,"Name")</f>
        <v>UNITED PARCEL SERVICE, INC.</v>
      </c>
      <c r="B11" s="13" t="e" vm="12">
        <v>#VALUE!</v>
      </c>
      <c r="C11" s="14" cm="1">
        <f t="array" aca="1" ref="C11" ca="1">_FV(B11,"Change (%)",TRUE)</f>
        <v>-1.6500000000000001E-2</v>
      </c>
      <c r="D11" s="15" cm="1">
        <f t="array" aca="1" ref="D11" ca="1">_FV(B11,"Beta")</f>
        <v>1.2003999999999999</v>
      </c>
      <c r="E11" s="13" t="str" cm="1">
        <f t="array" aca="1" ref="E11" ca="1">_FV(Table1[[#This Row],[Symbol ]],"Industry")</f>
        <v>Freight &amp; Logistics Services</v>
      </c>
      <c r="F11" s="15" cm="1">
        <f t="array" aca="1" ref="F11" ca="1">_FV(Table1[[#This Row],[Symbol ]],"P/E",TRUE)</f>
        <v>14.146699999999999</v>
      </c>
      <c r="G11" s="16" cm="1">
        <f t="array" aca="1" ref="G11" ca="1">_FV(Table1[[#This Row],[Symbol ]],"Volume average",TRUE)</f>
        <v>6158702</v>
      </c>
      <c r="H11" s="16" cm="1">
        <f t="array" aca="1" ref="H11" ca="1">_FV(Table1[[#This Row],[Symbol ]],"Volume")</f>
        <v>3318510</v>
      </c>
      <c r="I11" s="17" cm="1">
        <f t="array" aca="1" ref="I11" ca="1">_FV(Table1[[#This Row],[Symbol ]],"Market cap",TRUE)</f>
        <v>80759110000</v>
      </c>
      <c r="J11" s="20" cm="1">
        <f t="array" aca="1" ref="J11" ca="1">_FV(Table1[[#This Row],[Symbol ]],"Price")</f>
        <v>95.37</v>
      </c>
      <c r="K11" s="13" t="str" cm="1">
        <f t="array" aca="1" ref="K11" ca="1">_FV(Table1[[#This Row],[Symbol ]],"Instrument type",TRUE)</f>
        <v>Stock</v>
      </c>
      <c r="L11" s="23"/>
    </row>
    <row r="12" spans="1:12" x14ac:dyDescent="0.4">
      <c r="A12" s="13" t="str" cm="1">
        <f t="array" aca="1" ref="A12" ca="1">_FV(B12,"Name")</f>
        <v>ELI LILLY AND COMPANY</v>
      </c>
      <c r="B12" s="13" t="e" vm="13">
        <v>#VALUE!</v>
      </c>
      <c r="C12" s="14" cm="1">
        <f t="array" aca="1" ref="C12" ca="1">_FV(B12,"Change (%)",TRUE)</f>
        <v>-2.0830000000000002E-3</v>
      </c>
      <c r="D12" s="15" cm="1">
        <f t="array" aca="1" ref="D12" ca="1">_FV(B12,"Beta")</f>
        <v>0.42749999999999999</v>
      </c>
      <c r="E12" s="13" t="str" cm="1">
        <f t="array" aca="1" ref="E12" ca="1">_FV(Table1[[#This Row],[Symbol ]],"Industry")</f>
        <v>Pharmaceuticals</v>
      </c>
      <c r="F12" s="15" cm="1">
        <f t="array" aca="1" ref="F12" ca="1">_FV(Table1[[#This Row],[Symbol ]],"P/E",TRUE)</f>
        <v>58.143300000000004</v>
      </c>
      <c r="G12" s="16" cm="1">
        <f t="array" aca="1" ref="G12" ca="1">_FV(Table1[[#This Row],[Symbol ]],"Volume average",TRUE)</f>
        <v>5022123</v>
      </c>
      <c r="H12" s="16" cm="1">
        <f t="array" aca="1" ref="H12" ca="1">_FV(Table1[[#This Row],[Symbol ]],"Volume")</f>
        <v>2635706</v>
      </c>
      <c r="I12" s="17" cm="1">
        <f t="array" aca="1" ref="I12" ca="1">_FV(Table1[[#This Row],[Symbol ]],"Market cap",TRUE)</f>
        <v>676408400000</v>
      </c>
      <c r="J12" s="20" cm="1">
        <f t="array" aca="1" ref="J12" ca="1">_FV(Table1[[#This Row],[Symbol ]],"Price")</f>
        <v>713.71</v>
      </c>
      <c r="K12" s="13" t="str" cm="1">
        <f t="array" aca="1" ref="K12" ca="1">_FV(Table1[[#This Row],[Symbol ]],"Instrument type",TRUE)</f>
        <v>Stock</v>
      </c>
      <c r="L12" s="24"/>
    </row>
    <row r="13" spans="1:12" x14ac:dyDescent="0.4">
      <c r="A13" s="13" t="str" cm="1">
        <f t="array" aca="1" ref="A13" ca="1">_FV(B13,"Name")</f>
        <v>TAKE-TWO INTERACTIVE SOFTWARE, INC.</v>
      </c>
      <c r="B13" s="13" t="e" vm="14">
        <v>#VALUE!</v>
      </c>
      <c r="C13" s="14" cm="1">
        <f t="array" aca="1" ref="C13" ca="1">_FV(B13,"Change (%)",TRUE)</f>
        <v>-4.5129999999999997E-3</v>
      </c>
      <c r="D13" s="15" cm="1">
        <f t="array" aca="1" ref="D13" ca="1">_FV(B13,"Beta")</f>
        <v>1.0467</v>
      </c>
      <c r="E13" s="13" t="str" cm="1">
        <f t="array" aca="1" ref="E13" ca="1">_FV(Table1[[#This Row],[Symbol ]],"Industry")</f>
        <v>Software &amp; IT Services</v>
      </c>
      <c r="F13" s="15" cm="1">
        <f t="array" aca="1" ref="F13" ca="1">_FV(Table1[[#This Row],[Symbol ]],"P/E",TRUE)</f>
        <v>0</v>
      </c>
      <c r="G13" s="16" cm="1">
        <f t="array" aca="1" ref="G13" ca="1">_FV(Table1[[#This Row],[Symbol ]],"Volume average",TRUE)</f>
        <v>2714464</v>
      </c>
      <c r="H13" s="16" cm="1">
        <f t="array" aca="1" ref="H13" ca="1">_FV(Table1[[#This Row],[Symbol ]],"Volume")</f>
        <v>1863014</v>
      </c>
      <c r="I13" s="17" cm="1">
        <f t="array" aca="1" ref="I13" ca="1">_FV(Table1[[#This Row],[Symbol ]],"Market cap",TRUE)</f>
        <v>41084730000</v>
      </c>
      <c r="J13" s="20" cm="1">
        <f t="array" aca="1" ref="J13" ca="1">_FV(Table1[[#This Row],[Symbol ]],"Price")</f>
        <v>224.99</v>
      </c>
      <c r="K13" s="13" t="str" cm="1">
        <f t="array" aca="1" ref="K13" ca="1">_FV(Table1[[#This Row],[Symbol ]],"Instrument type",TRUE)</f>
        <v>Stock</v>
      </c>
      <c r="L13" s="23"/>
    </row>
    <row r="14" spans="1:12" x14ac:dyDescent="0.4">
      <c r="A14" s="13" t="str" cm="1">
        <f t="array" aca="1" ref="A14" ca="1">_FV(B14,"Name")</f>
        <v>APPLE INC.</v>
      </c>
      <c r="B14" s="13" t="e" vm="15">
        <v>#VALUE!</v>
      </c>
      <c r="C14" s="14" cm="1">
        <f t="array" aca="1" ref="C14" ca="1">_FV(B14,"Change (%)",TRUE)</f>
        <v>-3.0244E-2</v>
      </c>
      <c r="D14" s="15" cm="1">
        <f t="array" aca="1" ref="D14" ca="1">_FV(B14,"Beta")</f>
        <v>1.2363</v>
      </c>
      <c r="E14" s="13" t="str" cm="1">
        <f t="array" aca="1" ref="E14" ca="1">_FV(Table1[[#This Row],[Symbol ]],"Industry")</f>
        <v>Computers, Phones &amp; Household Electronics</v>
      </c>
      <c r="F14" s="15" cm="1">
        <f t="array" aca="1" ref="F14" ca="1">_FV(Table1[[#This Row],[Symbol ]],"P/E",TRUE)</f>
        <v>28.4404</v>
      </c>
      <c r="G14" s="16" cm="1">
        <f t="array" aca="1" ref="G14" ca="1">_FV(Table1[[#This Row],[Symbol ]],"Volume average",TRUE)</f>
        <v>52469350</v>
      </c>
      <c r="H14" s="16" cm="1">
        <f t="array" aca="1" ref="H14" ca="1">_FV(Table1[[#This Row],[Symbol ]],"Volume")</f>
        <v>78432918</v>
      </c>
      <c r="I14" s="17" cm="1">
        <f t="array" aca="1" ref="I14" ca="1">_FV(Table1[[#This Row],[Symbol ]],"Market cap",TRUE)</f>
        <v>2916519000000</v>
      </c>
      <c r="J14" s="20" cm="1">
        <f t="array" aca="1" ref="J14" ca="1">_FV(Table1[[#This Row],[Symbol ]],"Price")</f>
        <v>195.27</v>
      </c>
      <c r="K14" s="13" t="str" cm="1">
        <f t="array" aca="1" ref="K14" ca="1">_FV(Table1[[#This Row],[Symbol ]],"Instrument type",TRUE)</f>
        <v>Stock</v>
      </c>
      <c r="L14" s="23"/>
    </row>
    <row r="15" spans="1:12" x14ac:dyDescent="0.4">
      <c r="A15" s="13" t="str" cm="1">
        <f t="array" aca="1" ref="A15" ca="1">_FV(B15,"Name")</f>
        <v>MOTOROLA SOLUTIONS, INC.</v>
      </c>
      <c r="B15" s="13" t="e" vm="16">
        <v>#VALUE!</v>
      </c>
      <c r="C15" s="14" cm="1">
        <f t="array" aca="1" ref="C15" ca="1">_FV(B15,"Change (%)",TRUE)</f>
        <v>-6.6390000000000008E-3</v>
      </c>
      <c r="D15" s="15" cm="1">
        <f t="array" aca="1" ref="D15" ca="1">_FV(B15,"Beta")</f>
        <v>0.99319999999999997</v>
      </c>
      <c r="E15" s="13" t="str" cm="1">
        <f t="array" aca="1" ref="E15" ca="1">_FV(Table1[[#This Row],[Symbol ]],"Industry")</f>
        <v>Communications &amp; Networking</v>
      </c>
      <c r="F15" s="15" cm="1">
        <f t="array" aca="1" ref="F15" ca="1">_FV(Table1[[#This Row],[Symbol ]],"P/E",TRUE)</f>
        <v>35.181699999999999</v>
      </c>
      <c r="G15" s="16" cm="1">
        <f t="array" aca="1" ref="G15" ca="1">_FV(Table1[[#This Row],[Symbol ]],"Volume average",TRUE)</f>
        <v>894542</v>
      </c>
      <c r="H15" s="16" cm="1">
        <f t="array" aca="1" ref="H15" ca="1">_FV(Table1[[#This Row],[Symbol ]],"Volume")</f>
        <v>563172</v>
      </c>
      <c r="I15" s="17" cm="1">
        <f t="array" aca="1" ref="I15" ca="1">_FV(Table1[[#This Row],[Symbol ]],"Market cap",TRUE)</f>
        <v>69924370000</v>
      </c>
      <c r="J15" s="20" cm="1">
        <f t="array" aca="1" ref="J15" ca="1">_FV(Table1[[#This Row],[Symbol ]],"Price")</f>
        <v>418.92</v>
      </c>
      <c r="K15" s="13" t="str" cm="1">
        <f t="array" aca="1" ref="K15" ca="1">_FV(Table1[[#This Row],[Symbol ]],"Instrument type",TRUE)</f>
        <v>Stock</v>
      </c>
      <c r="L15" s="23"/>
    </row>
    <row r="16" spans="1:12" x14ac:dyDescent="0.4">
      <c r="A16" s="13" t="str" cm="1">
        <f t="array" aca="1" ref="A16" ca="1">_FV(B16,"Name")</f>
        <v>GODADDY INC.</v>
      </c>
      <c r="B16" s="13" t="e" vm="17">
        <v>#VALUE!</v>
      </c>
      <c r="C16" s="14" cm="1">
        <f t="array" aca="1" ref="C16" ca="1">_FV(B16,"Change (%)",TRUE)</f>
        <v>-6.1419999999999999E-3</v>
      </c>
      <c r="D16" s="15" cm="1">
        <f t="array" aca="1" ref="D16" ca="1">_FV(B16,"Beta")</f>
        <v>1.0932999999999999</v>
      </c>
      <c r="E16" s="13" t="str" cm="1">
        <f t="array" aca="1" ref="E16" ca="1">_FV(Table1[[#This Row],[Symbol ]],"Industry")</f>
        <v>Software &amp; IT Services</v>
      </c>
      <c r="F16" s="15" cm="1">
        <f t="array" aca="1" ref="F16" ca="1">_FV(Table1[[#This Row],[Symbol ]],"P/E",TRUE)</f>
        <v>35.331200000000003</v>
      </c>
      <c r="G16" s="16" cm="1">
        <f t="array" aca="1" ref="G16" ca="1">_FV(Table1[[#This Row],[Symbol ]],"Volume average",TRUE)</f>
        <v>1380533</v>
      </c>
      <c r="H16" s="16" cm="1">
        <f t="array" aca="1" ref="H16" ca="1">_FV(Table1[[#This Row],[Symbol ]],"Volume")</f>
        <v>880102</v>
      </c>
      <c r="I16" s="17" cm="1">
        <f t="array" aca="1" ref="I16" ca="1">_FV(Table1[[#This Row],[Symbol ]],"Market cap",TRUE)</f>
        <v>26052540000</v>
      </c>
      <c r="J16" s="20" cm="1">
        <f t="array" aca="1" ref="J16" ca="1">_FV(Table1[[#This Row],[Symbol ]],"Price")</f>
        <v>182.84</v>
      </c>
      <c r="K16" s="13" t="str" cm="1">
        <f t="array" aca="1" ref="K16" ca="1">_FV(Table1[[#This Row],[Symbol ]],"Instrument type",TRUE)</f>
        <v>Stock</v>
      </c>
      <c r="L16" s="23"/>
    </row>
    <row r="17" spans="1:12" x14ac:dyDescent="0.4">
      <c r="A17" s="13" t="str" cm="1">
        <f t="array" aca="1" ref="A17" ca="1">_FV(B17,"Name")</f>
        <v>ZIMMER BIOMET HOLDINGS, INC.</v>
      </c>
      <c r="B17" s="13" t="e" vm="18">
        <v>#VALUE!</v>
      </c>
      <c r="C17" s="14" cm="1">
        <f t="array" aca="1" ref="C17" ca="1">_FV(B17,"Change (%)",TRUE)</f>
        <v>1.0581E-2</v>
      </c>
      <c r="D17" s="15" cm="1">
        <f t="array" aca="1" ref="D17" ca="1">_FV(B17,"Beta")</f>
        <v>0.74909999999999999</v>
      </c>
      <c r="E17" s="13" t="str" cm="1">
        <f t="array" aca="1" ref="E17" ca="1">_FV(Table1[[#This Row],[Symbol ]],"Industry")</f>
        <v>Healthcare Equipment &amp; Supplies</v>
      </c>
      <c r="F17" s="15" cm="1">
        <f t="array" aca="1" ref="F17" ca="1">_FV(Table1[[#This Row],[Symbol ]],"P/E",TRUE)</f>
        <v>20.3155</v>
      </c>
      <c r="G17" s="16" cm="1">
        <f t="array" aca="1" ref="G17" ca="1">_FV(Table1[[#This Row],[Symbol ]],"Volume average",TRUE)</f>
        <v>2655066</v>
      </c>
      <c r="H17" s="16" cm="1">
        <f t="array" aca="1" ref="H17" ca="1">_FV(Table1[[#This Row],[Symbol ]],"Volume")</f>
        <v>3141106</v>
      </c>
      <c r="I17" s="17" cm="1">
        <f t="array" aca="1" ref="I17" ca="1">_FV(Table1[[#This Row],[Symbol ]],"Market cap",TRUE)</f>
        <v>18328630000</v>
      </c>
      <c r="J17" s="20" cm="1">
        <f t="array" aca="1" ref="J17" ca="1">_FV(Table1[[#This Row],[Symbol ]],"Price")</f>
        <v>92.64</v>
      </c>
      <c r="K17" s="13" t="str" cm="1">
        <f t="array" aca="1" ref="K17" ca="1">_FV(Table1[[#This Row],[Symbol ]],"Instrument type",TRUE)</f>
        <v>Stock</v>
      </c>
      <c r="L17" s="23"/>
    </row>
    <row r="18" spans="1:12" x14ac:dyDescent="0.4">
      <c r="A18" s="13" t="str" cm="1">
        <f t="array" aca="1" ref="A18" ca="1">_FV(B18,"Name")</f>
        <v>VERTEX PHARMACEUTICALS INCORPORATED</v>
      </c>
      <c r="B18" s="13" t="e" vm="19">
        <v>#VALUE!</v>
      </c>
      <c r="C18" s="14" cm="1">
        <f t="array" aca="1" ref="C18" ca="1">_FV(B18,"Change (%)",TRUE)</f>
        <v>4.5390000000000005E-3</v>
      </c>
      <c r="D18" s="15" cm="1">
        <f t="array" aca="1" ref="D18" ca="1">_FV(B18,"Beta")</f>
        <v>0.44190000000000002</v>
      </c>
      <c r="E18" s="13" t="str" cm="1">
        <f t="array" aca="1" ref="E18" ca="1">_FV(Table1[[#This Row],[Symbol ]],"Industry")</f>
        <v>Pharmaceuticals</v>
      </c>
      <c r="F18" s="15" cm="1">
        <f t="array" aca="1" ref="F18" ca="1">_FV(Table1[[#This Row],[Symbol ]],"P/E",TRUE)</f>
        <v>0</v>
      </c>
      <c r="G18" s="16" cm="1">
        <f t="array" aca="1" ref="G18" ca="1">_FV(Table1[[#This Row],[Symbol ]],"Volume average",TRUE)</f>
        <v>1969303</v>
      </c>
      <c r="H18" s="16" cm="1">
        <f t="array" aca="1" ref="H18" ca="1">_FV(Table1[[#This Row],[Symbol ]],"Volume")</f>
        <v>1427494</v>
      </c>
      <c r="I18" s="17" cm="1">
        <f t="array" aca="1" ref="I18" ca="1">_FV(Table1[[#This Row],[Symbol ]],"Market cap",TRUE)</f>
        <v>111963600000</v>
      </c>
      <c r="J18" s="20" cm="1">
        <f t="array" aca="1" ref="J18" ca="1">_FV(Table1[[#This Row],[Symbol ]],"Price")</f>
        <v>436</v>
      </c>
      <c r="K18" s="13" t="str" cm="1">
        <f t="array" aca="1" ref="K18" ca="1">_FV(Table1[[#This Row],[Symbol ]],"Instrument type",TRUE)</f>
        <v>Stock</v>
      </c>
      <c r="L18" s="23"/>
    </row>
    <row r="19" spans="1:12" x14ac:dyDescent="0.4">
      <c r="A19" s="13" t="str" cm="1">
        <f t="array" aca="1" ref="A19" ca="1">_FV(B19,"Name")</f>
        <v>ARISTA NETWORKS, INC.</v>
      </c>
      <c r="B19" s="13" t="e" vm="20">
        <v>#VALUE!</v>
      </c>
      <c r="C19" s="14" cm="1">
        <f t="array" aca="1" ref="C19" ca="1">_FV(B19,"Change (%)",TRUE)</f>
        <v>-1.4693000000000001E-2</v>
      </c>
      <c r="D19" s="15" cm="1">
        <f t="array" aca="1" ref="D19" ca="1">_FV(B19,"Beta")</f>
        <v>1.3989</v>
      </c>
      <c r="E19" s="13" t="str" cm="1">
        <f t="array" aca="1" ref="E19" ca="1">_FV(Table1[[#This Row],[Symbol ]],"Industry")</f>
        <v>Communications &amp; Networking</v>
      </c>
      <c r="F19" s="15" cm="1">
        <f t="array" aca="1" ref="F19" ca="1">_FV(Table1[[#This Row],[Symbol ]],"P/E",TRUE)</f>
        <v>39.1571</v>
      </c>
      <c r="G19" s="16" cm="1">
        <f t="array" aca="1" ref="G19" ca="1">_FV(Table1[[#This Row],[Symbol ]],"Volume average",TRUE)</f>
        <v>10133901</v>
      </c>
      <c r="H19" s="16" cm="1">
        <f t="array" aca="1" ref="H19" ca="1">_FV(Table1[[#This Row],[Symbol ]],"Volume")</f>
        <v>7452452</v>
      </c>
      <c r="I19" s="17" cm="1">
        <f t="array" aca="1" ref="I19" ca="1">_FV(Table1[[#This Row],[Symbol ]],"Market cap",TRUE)</f>
        <v>114540000000</v>
      </c>
      <c r="J19" s="20" cm="1">
        <f t="array" aca="1" ref="J19" ca="1">_FV(Table1[[#This Row],[Symbol ]],"Price")</f>
        <v>91.2</v>
      </c>
      <c r="K19" s="13" t="str" cm="1">
        <f t="array" aca="1" ref="K19" ca="1">_FV(Table1[[#This Row],[Symbol ]],"Instrument type",TRUE)</f>
        <v>Stock</v>
      </c>
      <c r="L19" s="23"/>
    </row>
    <row r="20" spans="1:12" x14ac:dyDescent="0.4">
      <c r="A20" s="13" t="str" cm="1">
        <f t="array" aca="1" ref="A20" ca="1">_FV(B20,"Name")</f>
        <v>ALPHABET INC.</v>
      </c>
      <c r="B20" s="13" t="e" vm="21">
        <v>#VALUE!</v>
      </c>
      <c r="C20" s="14" cm="1">
        <f t="array" aca="1" ref="C20" ca="1">_FV(B20,"Change (%)",TRUE)</f>
        <v>-1.3897E-2</v>
      </c>
      <c r="D20" s="15" cm="1">
        <f t="array" aca="1" ref="D20" ca="1">_FV(B20,"Beta")</f>
        <v>1.0098</v>
      </c>
      <c r="E20" s="13" t="str" cm="1">
        <f t="array" aca="1" ref="E20" ca="1">_FV(Table1[[#This Row],[Symbol ]],"Industry")</f>
        <v>Software &amp; IT Services</v>
      </c>
      <c r="F20" s="15" cm="1">
        <f t="array" aca="1" ref="F20" ca="1">_FV(Table1[[#This Row],[Symbol ]],"P/E",TRUE)</f>
        <v>19.179600000000001</v>
      </c>
      <c r="G20" s="16" cm="1">
        <f t="array" aca="1" ref="G20" ca="1">_FV(Table1[[#This Row],[Symbol ]],"Volume average",TRUE)</f>
        <v>27663004</v>
      </c>
      <c r="H20" s="16" cm="1">
        <f t="array" aca="1" ref="H20" ca="1">_FV(Table1[[#This Row],[Symbol ]],"Volume")</f>
        <v>24963648</v>
      </c>
      <c r="I20" s="17" cm="1">
        <f t="array" aca="1" ref="I20" ca="1">_FV(Table1[[#This Row],[Symbol ]],"Market cap",TRUE)</f>
        <v>2050498000000</v>
      </c>
      <c r="J20" s="20" cm="1">
        <f t="array" aca="1" ref="J20" ca="1">_FV(Table1[[#This Row],[Symbol ]],"Price")</f>
        <v>169.59</v>
      </c>
      <c r="K20" s="13" t="str" cm="1">
        <f t="array" aca="1" ref="K20" ca="1">_FV(Table1[[#This Row],[Symbol ]],"Instrument type",TRUE)</f>
        <v>Stock</v>
      </c>
      <c r="L20" s="23"/>
    </row>
    <row r="21" spans="1:12" x14ac:dyDescent="0.4">
      <c r="A21" s="13" t="str" cm="1">
        <f t="array" aca="1" ref="A21" ca="1">_FV(B21,"Name")</f>
        <v>Cencora, Inc.</v>
      </c>
      <c r="B21" s="13" t="e" vm="22">
        <v>#VALUE!</v>
      </c>
      <c r="C21" s="14" cm="1">
        <f t="array" aca="1" ref="C21" ca="1">_FV(B21,"Change (%)",TRUE)</f>
        <v>7.7210000000000004E-3</v>
      </c>
      <c r="D21" s="15" cm="1">
        <f t="array" aca="1" ref="D21" ca="1">_FV(B21,"Beta")</f>
        <v>0.58460000000000001</v>
      </c>
      <c r="E21" s="13" t="str" cm="1">
        <f t="array" aca="1" ref="E21" ca="1">_FV(Table1[[#This Row],[Symbol ]],"Industry")</f>
        <v>Healthcare Equipment &amp; Supplies</v>
      </c>
      <c r="F21" s="15" cm="1">
        <f t="array" aca="1" ref="F21" ca="1">_FV(Table1[[#This Row],[Symbol ]],"P/E",TRUE)</f>
        <v>33.668399999999998</v>
      </c>
      <c r="G21" s="16" cm="1">
        <f t="array" aca="1" ref="G21" ca="1">_FV(Table1[[#This Row],[Symbol ]],"Volume average",TRUE)</f>
        <v>1812315</v>
      </c>
      <c r="H21" s="16" cm="1">
        <f t="array" aca="1" ref="H21" ca="1">_FV(Table1[[#This Row],[Symbol ]],"Volume")</f>
        <v>1356523</v>
      </c>
      <c r="I21" s="17" cm="1">
        <f t="array" aca="1" ref="I21" ca="1">_FV(Table1[[#This Row],[Symbol ]],"Market cap",TRUE)</f>
        <v>56664300000</v>
      </c>
      <c r="J21" s="20" cm="1">
        <f t="array" aca="1" ref="J21" ca="1">_FV(Table1[[#This Row],[Symbol ]],"Price")</f>
        <v>292.35000000000002</v>
      </c>
      <c r="K21" s="13" t="str" cm="1">
        <f t="array" aca="1" ref="K21" ca="1">_FV(Table1[[#This Row],[Symbol ]],"Instrument type",TRUE)</f>
        <v>Stock</v>
      </c>
      <c r="L21" s="23"/>
    </row>
    <row r="22" spans="1:12" x14ac:dyDescent="0.4">
      <c r="A22" s="13" t="str" cm="1">
        <f t="array" aca="1" ref="A22" ca="1">_FV(B22,"Name")</f>
        <v>MATCH GROUP, INC.</v>
      </c>
      <c r="B22" s="13" t="e" vm="23">
        <v>#VALUE!</v>
      </c>
      <c r="C22" s="14" cm="1">
        <f t="array" aca="1" ref="C22" ca="1">_FV(B22,"Change (%)",TRUE)</f>
        <v>-8.149E-3</v>
      </c>
      <c r="D22" s="15" cm="1">
        <f t="array" aca="1" ref="D22" ca="1">_FV(B22,"Beta")</f>
        <v>1.3471</v>
      </c>
      <c r="E22" s="13" t="str" cm="1">
        <f t="array" aca="1" ref="E22" ca="1">_FV(Table1[[#This Row],[Symbol ]],"Industry")</f>
        <v>Software &amp; IT Services</v>
      </c>
      <c r="F22" s="15" cm="1">
        <f t="array" aca="1" ref="F22" ca="1">_FV(Table1[[#This Row],[Symbol ]],"P/E",TRUE)</f>
        <v>14.611700000000001</v>
      </c>
      <c r="G22" s="16" cm="1">
        <f t="array" aca="1" ref="G22" ca="1">_FV(Table1[[#This Row],[Symbol ]],"Volume average",TRUE)</f>
        <v>5107123</v>
      </c>
      <c r="H22" s="16" cm="1">
        <f t="array" aca="1" ref="H22" ca="1">_FV(Table1[[#This Row],[Symbol ]],"Volume")</f>
        <v>3248511</v>
      </c>
      <c r="I22" s="17" cm="1">
        <f t="array" aca="1" ref="I22" ca="1">_FV(Table1[[#This Row],[Symbol ]],"Market cap",TRUE)</f>
        <v>7163032000</v>
      </c>
      <c r="J22" s="20" cm="1">
        <f t="array" aca="1" ref="J22" ca="1">_FV(Table1[[#This Row],[Symbol ]],"Price")</f>
        <v>29.21</v>
      </c>
      <c r="K22" s="13" t="str" cm="1">
        <f t="array" aca="1" ref="K22" ca="1">_FV(Table1[[#This Row],[Symbol ]],"Instrument type",TRUE)</f>
        <v>Stock</v>
      </c>
      <c r="L22" s="23"/>
    </row>
    <row r="23" spans="1:12" x14ac:dyDescent="0.4">
      <c r="A23" s="13" t="str" cm="1">
        <f t="array" aca="1" ref="A23" ca="1">_FV(B23,"Name")</f>
        <v>ANGLOGOLD ASHANTI (PTY) LTD</v>
      </c>
      <c r="B23" s="13" t="e" vm="24">
        <v>#VALUE!</v>
      </c>
      <c r="C23" s="14" cm="1">
        <f t="array" aca="1" ref="C23" ca="1">_FV(B23,"Change (%)",TRUE)</f>
        <v>2.7052E-2</v>
      </c>
      <c r="D23" s="15" t="e" cm="1" vm="25">
        <f t="array" ref="D23">_FV(B23,"Beta")</f>
        <v>#VALUE!</v>
      </c>
      <c r="E23" s="13" t="str" cm="1">
        <f t="array" aca="1" ref="E23" ca="1">_FV(Table1[[#This Row],[Symbol ]],"Industry")</f>
        <v>Metals &amp; Mining</v>
      </c>
      <c r="F23" s="15" cm="1">
        <f t="array" aca="1" ref="F23" ca="1">_FV(Table1[[#This Row],[Symbol ]],"P/E",TRUE)</f>
        <v>15.181900000000001</v>
      </c>
      <c r="G23" s="16" cm="1">
        <f t="array" aca="1" ref="G23" ca="1">_FV(Table1[[#This Row],[Symbol ]],"Volume average",TRUE)</f>
        <v>3345372</v>
      </c>
      <c r="H23" s="16" cm="1">
        <f t="array" aca="1" ref="H23" ca="1">_FV(Table1[[#This Row],[Symbol ]],"Volume")</f>
        <v>2420123</v>
      </c>
      <c r="I23" s="17" cm="1">
        <f t="array" aca="1" ref="I23" ca="1">_FV(Table1[[#This Row],[Symbol ]],"Market cap",TRUE)</f>
        <v>22174790000</v>
      </c>
      <c r="J23" s="20" cm="1">
        <f t="array" aca="1" ref="J23" ca="1">_FV(Table1[[#This Row],[Symbol ]],"Price")</f>
        <v>44.04</v>
      </c>
      <c r="K23" s="13" t="str" cm="1">
        <f t="array" aca="1" ref="K23" ca="1">_FV(Table1[[#This Row],[Symbol ]],"Instrument type",TRUE)</f>
        <v>Stock</v>
      </c>
      <c r="L23" s="23"/>
    </row>
    <row r="24" spans="1:12" x14ac:dyDescent="0.4">
      <c r="A24" s="13" t="str" cm="1">
        <f t="array" aca="1" ref="A24" ca="1">_FV(B24,"Name")</f>
        <v>ALPHABET INC.</v>
      </c>
      <c r="B24" s="13" t="e" vm="26">
        <v>#VALUE!</v>
      </c>
      <c r="C24" s="14" cm="1">
        <f t="array" aca="1" ref="C24" ca="1">_FV(B24,"Change (%)",TRUE)</f>
        <v>-1.4046000000000001E-2</v>
      </c>
      <c r="D24" s="15" cm="1">
        <f t="array" aca="1" ref="D24" ca="1">_FV(B24,"Beta")</f>
        <v>1.0098</v>
      </c>
      <c r="E24" s="13" t="str" cm="1">
        <f t="array" aca="1" ref="E24" ca="1">_FV(Table1[[#This Row],[Symbol ]],"Industry")</f>
        <v>Software &amp; IT Services</v>
      </c>
      <c r="F24" s="15" cm="1">
        <f t="array" aca="1" ref="F24" ca="1">_FV(Table1[[#This Row],[Symbol ]],"P/E",TRUE)</f>
        <v>19.0472</v>
      </c>
      <c r="G24" s="16" cm="1">
        <f t="array" aca="1" ref="G24" ca="1">_FV(Table1[[#This Row],[Symbol ]],"Volume average",TRUE)</f>
        <v>42538535</v>
      </c>
      <c r="H24" s="16" cm="1">
        <f t="array" aca="1" ref="H24" ca="1">_FV(Table1[[#This Row],[Symbol ]],"Volume")</f>
        <v>35211439</v>
      </c>
      <c r="I24" s="17" cm="1">
        <f t="array" aca="1" ref="I24" ca="1">_FV(Table1[[#This Row],[Symbol ]],"Market cap",TRUE)</f>
        <v>2050498000000</v>
      </c>
      <c r="J24" s="20" cm="1">
        <f t="array" aca="1" ref="J24" ca="1">_FV(Table1[[#This Row],[Symbol ]],"Price")</f>
        <v>168.47</v>
      </c>
      <c r="K24" s="13" t="str" cm="1">
        <f t="array" aca="1" ref="K24" ca="1">_FV(Table1[[#This Row],[Symbol ]],"Instrument type",TRUE)</f>
        <v>Stock</v>
      </c>
      <c r="L24" s="23"/>
    </row>
    <row r="25" spans="1:12" x14ac:dyDescent="0.4">
      <c r="A25" s="13" t="str" cm="1">
        <f t="array" aca="1" ref="A25" ca="1">_FV(B25,"Name")</f>
        <v>IONQ, INC.</v>
      </c>
      <c r="B25" s="13" t="e" vm="27">
        <v>#VALUE!</v>
      </c>
      <c r="C25" s="14" cm="1">
        <f t="array" aca="1" ref="C25" ca="1">_FV(B25,"Change (%)",TRUE)</f>
        <v>-2.1840000000000002E-3</v>
      </c>
      <c r="D25" s="15" cm="1">
        <f t="array" aca="1" ref="D25" ca="1">_FV(B25,"Beta")</f>
        <v>2.6166999999999998</v>
      </c>
      <c r="E25" s="13" t="s">
        <v>951</v>
      </c>
      <c r="F25" s="18" t="e" cm="1" vm="4">
        <f t="array" ref="F25">_FV(Table1[[#This Row],[Symbol ]],"P/E",TRUE)</f>
        <v>#VALUE!</v>
      </c>
      <c r="G25" s="16" cm="1">
        <f t="array" aca="1" ref="G25" ca="1">_FV(Table1[[#This Row],[Symbol ]],"Volume average",TRUE)</f>
        <v>19312412</v>
      </c>
      <c r="H25" s="16" cm="1">
        <f t="array" aca="1" ref="H25" ca="1">_FV(Table1[[#This Row],[Symbol ]],"Volume")</f>
        <v>53827271</v>
      </c>
      <c r="I25" s="17" cm="1">
        <f t="array" aca="1" ref="I25" ca="1">_FV(Table1[[#This Row],[Symbol ]],"Market cap",TRUE)</f>
        <v>11319670000</v>
      </c>
      <c r="J25" s="20" cm="1">
        <f t="array" aca="1" ref="J25" ca="1">_FV(Table1[[#This Row],[Symbol ]],"Price")</f>
        <v>45.69</v>
      </c>
      <c r="K25" s="13" t="str" cm="1">
        <f t="array" aca="1" ref="K25" ca="1">_FV(Table1[[#This Row],[Symbol ]],"Instrument type",TRUE)</f>
        <v>Stock</v>
      </c>
      <c r="L25" s="24"/>
    </row>
    <row r="26" spans="1:12" x14ac:dyDescent="0.4">
      <c r="A26" s="13" t="str" cm="1">
        <f t="array" aca="1" ref="A26" ca="1">_FV(B26,"Name")</f>
        <v>UNITEDHEALTH GROUP INCORPORATED</v>
      </c>
      <c r="B26" s="13" t="e" vm="28">
        <v>#VALUE!</v>
      </c>
      <c r="C26" s="14" cm="1">
        <f t="array" aca="1" ref="C26" ca="1">_FV(B26,"Change (%)",TRUE)</f>
        <v>-3.7080000000000004E-3</v>
      </c>
      <c r="D26" s="15" cm="1">
        <f t="array" aca="1" ref="D26" ca="1">_FV(B26,"Beta")</f>
        <v>0.4945</v>
      </c>
      <c r="E26" s="13" t="str" cm="1">
        <f t="array" aca="1" ref="E26" ca="1">_FV(Table1[[#This Row],[Symbol ]],"Industry")</f>
        <v>Healthcare Providers &amp; Services</v>
      </c>
      <c r="F26" s="15" cm="1">
        <f t="array" aca="1" ref="F26" ca="1">_FV(Table1[[#This Row],[Symbol ]],"P/E",TRUE)</f>
        <v>12.4162</v>
      </c>
      <c r="G26" s="16" cm="1">
        <f t="array" aca="1" ref="G26" ca="1">_FV(Table1[[#This Row],[Symbol ]],"Volume average",TRUE)</f>
        <v>25769688</v>
      </c>
      <c r="H26" s="16" cm="1">
        <f t="array" aca="1" ref="H26" ca="1">_FV(Table1[[#This Row],[Symbol ]],"Volume")</f>
        <v>16873644</v>
      </c>
      <c r="I26" s="17" cm="1">
        <f t="array" aca="1" ref="I26" ca="1">_FV(Table1[[#This Row],[Symbol ]],"Market cap",TRUE)</f>
        <v>268123500000</v>
      </c>
      <c r="J26" s="20" cm="1">
        <f t="array" aca="1" ref="J26" ca="1">_FV(Table1[[#This Row],[Symbol ]],"Price")</f>
        <v>295.57</v>
      </c>
      <c r="K26" s="13" t="str" cm="1">
        <f t="array" aca="1" ref="K26" ca="1">_FV(Table1[[#This Row],[Symbol ]],"Instrument type",TRUE)</f>
        <v>Stock</v>
      </c>
      <c r="L26" s="24"/>
    </row>
    <row r="27" spans="1:12" x14ac:dyDescent="0.4">
      <c r="A27" s="13" t="str" cm="1">
        <f t="array" aca="1" ref="A27" ca="1">_FV(B27,"Name")</f>
        <v>NEWMONT CORPORATION</v>
      </c>
      <c r="B27" s="13" t="e" vm="29">
        <v>#VALUE!</v>
      </c>
      <c r="C27" s="14" cm="1">
        <f t="array" aca="1" ref="C27" ca="1">_FV(B27,"Change (%)",TRUE)</f>
        <v>1.8992999999999999E-2</v>
      </c>
      <c r="D27" s="15" cm="1">
        <f t="array" aca="1" ref="D27" ca="1">_FV(B27,"Beta")</f>
        <v>0.33360000000000001</v>
      </c>
      <c r="E27" s="13" t="str" cm="1">
        <f t="array" aca="1" ref="E27" ca="1">_FV(Table1[[#This Row],[Symbol ]],"Industry")</f>
        <v>Metals &amp; Mining</v>
      </c>
      <c r="F27" s="15" cm="1">
        <f t="array" aca="1" ref="F27" ca="1">_FV(Table1[[#This Row],[Symbol ]],"P/E",TRUE)</f>
        <v>11.9528</v>
      </c>
      <c r="G27" s="16" cm="1">
        <f t="array" aca="1" ref="G27" ca="1">_FV(Table1[[#This Row],[Symbol ]],"Volume average",TRUE)</f>
        <v>13153873</v>
      </c>
      <c r="H27" s="16" cm="1">
        <f t="array" aca="1" ref="H27" ca="1">_FV(Table1[[#This Row],[Symbol ]],"Volume")</f>
        <v>10172305</v>
      </c>
      <c r="I27" s="17" cm="1">
        <f t="array" aca="1" ref="I27" ca="1">_FV(Table1[[#This Row],[Symbol ]],"Market cap",TRUE)</f>
        <v>59712290000</v>
      </c>
      <c r="J27" s="20" cm="1">
        <f t="array" aca="1" ref="J27" ca="1">_FV(Table1[[#This Row],[Symbol ]],"Price")</f>
        <v>53.65</v>
      </c>
      <c r="K27" s="13" t="str" cm="1">
        <f t="array" aca="1" ref="K27" ca="1">_FV(Table1[[#This Row],[Symbol ]],"Instrument type",TRUE)</f>
        <v>Stock</v>
      </c>
      <c r="L27" s="23"/>
    </row>
    <row r="28" spans="1:12" x14ac:dyDescent="0.4">
      <c r="A28" s="13" t="str" cm="1">
        <f t="array" aca="1" ref="A28" ca="1">_FV(B28,"Name")</f>
        <v>AGNICO EAGLE MINES LIMITED</v>
      </c>
      <c r="B28" s="13" t="e" vm="30">
        <v>#VALUE!</v>
      </c>
      <c r="C28" s="14" cm="1">
        <f t="array" aca="1" ref="C28" ca="1">_FV(B28,"Change (%)",TRUE)</f>
        <v>2.6442E-2</v>
      </c>
      <c r="D28" s="15" cm="1">
        <f t="array" aca="1" ref="D28" ca="1">_FV(B28,"Beta")</f>
        <v>0.65569999999999995</v>
      </c>
      <c r="E28" s="13" t="str" cm="1">
        <f t="array" aca="1" ref="E28" ca="1">_FV(Table1[[#This Row],[Symbol ]],"Industry")</f>
        <v>Metals &amp; Mining</v>
      </c>
      <c r="F28" s="15" cm="1">
        <f t="array" aca="1" ref="F28" ca="1">_FV(Table1[[#This Row],[Symbol ]],"P/E",TRUE)</f>
        <v>24.367000000000001</v>
      </c>
      <c r="G28" s="16" cm="1">
        <f t="array" aca="1" ref="G28" ca="1">_FV(Table1[[#This Row],[Symbol ]],"Volume average",TRUE)</f>
        <v>4074563</v>
      </c>
      <c r="H28" s="16" cm="1">
        <f t="array" aca="1" ref="H28" ca="1">_FV(Table1[[#This Row],[Symbol ]],"Volume")</f>
        <v>3314006</v>
      </c>
      <c r="I28" s="17" cm="1">
        <f t="array" aca="1" ref="I28" ca="1">_FV(Table1[[#This Row],[Symbol ]],"Market cap",TRUE)</f>
        <v>80486950000</v>
      </c>
      <c r="J28" s="20" cm="1">
        <f t="array" aca="1" ref="J28" ca="1">_FV(Table1[[#This Row],[Symbol ]],"Price")</f>
        <v>117.62</v>
      </c>
      <c r="K28" s="13" t="str" cm="1">
        <f t="array" aca="1" ref="K28" ca="1">_FV(Table1[[#This Row],[Symbol ]],"Instrument type",TRUE)</f>
        <v>Stock</v>
      </c>
      <c r="L28" s="23"/>
    </row>
    <row r="29" spans="1:12" x14ac:dyDescent="0.4">
      <c r="A29" s="13" t="str" cm="1">
        <f t="array" aca="1" ref="A29" ca="1">_FV(B29,"Name")</f>
        <v>ROYAL GOLD, INC.</v>
      </c>
      <c r="B29" s="13" t="e" vm="31">
        <v>#VALUE!</v>
      </c>
      <c r="C29" s="14" cm="1">
        <f t="array" aca="1" ref="C29" ca="1">_FV(B29,"Change (%)",TRUE)</f>
        <v>2.1840999999999999E-2</v>
      </c>
      <c r="D29" s="15" cm="1">
        <f t="array" aca="1" ref="D29" ca="1">_FV(B29,"Beta")</f>
        <v>0.46350000000000002</v>
      </c>
      <c r="E29" s="13" t="str" cm="1">
        <f t="array" aca="1" ref="E29" ca="1">_FV(Table1[[#This Row],[Symbol ]],"Industry")</f>
        <v>Metals &amp; Mining</v>
      </c>
      <c r="F29" s="15" cm="1">
        <f t="array" aca="1" ref="F29" ca="1">_FV(Table1[[#This Row],[Symbol ]],"P/E",TRUE)</f>
        <v>29.187999999999999</v>
      </c>
      <c r="G29" s="16" cm="1">
        <f t="array" aca="1" ref="G29" ca="1">_FV(Table1[[#This Row],[Symbol ]],"Volume average",TRUE)</f>
        <v>549726</v>
      </c>
      <c r="H29" s="16" cm="1">
        <f t="array" aca="1" ref="H29" ca="1">_FV(Table1[[#This Row],[Symbol ]],"Volume")</f>
        <v>389221</v>
      </c>
      <c r="I29" s="17" cm="1">
        <f t="array" aca="1" ref="I29" ca="1">_FV(Table1[[#This Row],[Symbol ]],"Market cap",TRUE)</f>
        <v>11885800000</v>
      </c>
      <c r="J29" s="20" cm="1">
        <f t="array" aca="1" ref="J29" ca="1">_FV(Table1[[#This Row],[Symbol ]],"Price")</f>
        <v>180.59</v>
      </c>
      <c r="K29" s="13" t="str" cm="1">
        <f t="array" aca="1" ref="K29" ca="1">_FV(Table1[[#This Row],[Symbol ]],"Instrument type",TRUE)</f>
        <v>Stock</v>
      </c>
      <c r="L29" s="23"/>
    </row>
    <row r="30" spans="1:12" x14ac:dyDescent="0.4">
      <c r="A30" s="13" t="str" cm="1">
        <f t="array" aca="1" ref="A30" ca="1">_FV(B30,"Name")</f>
        <v>SEABRIDGE GOLD INC.</v>
      </c>
      <c r="B30" s="13" t="e" vm="32">
        <v>#VALUE!</v>
      </c>
      <c r="C30" s="14" cm="1">
        <f t="array" aca="1" ref="C30" ca="1">_FV(B30,"Change (%)",TRUE)</f>
        <v>5.7609999999999996E-3</v>
      </c>
      <c r="D30" s="15" cm="1">
        <f t="array" aca="1" ref="D30" ca="1">_FV(B30,"Beta")</f>
        <v>0.79090000000000005</v>
      </c>
      <c r="E30" s="13" t="str" cm="1">
        <f t="array" aca="1" ref="E30" ca="1">_FV(Table1[[#This Row],[Symbol ]],"Industry")</f>
        <v>Metals &amp; Mining</v>
      </c>
      <c r="F30" s="15" t="e" cm="1" vm="4">
        <f t="array" ref="F30">_FV(Table1[[#This Row],[Symbol ]],"P/E",TRUE)</f>
        <v>#VALUE!</v>
      </c>
      <c r="G30" s="16" cm="1">
        <f t="array" aca="1" ref="G30" ca="1">_FV(Table1[[#This Row],[Symbol ]],"Volume average",TRUE)</f>
        <v>722238</v>
      </c>
      <c r="H30" s="16" cm="1">
        <f t="array" aca="1" ref="H30" ca="1">_FV(Table1[[#This Row],[Symbol ]],"Volume")</f>
        <v>542207</v>
      </c>
      <c r="I30" s="17" cm="1">
        <f t="array" aca="1" ref="I30" ca="1">_FV(Table1[[#This Row],[Symbol ]],"Market cap",TRUE)</f>
        <v>1688119000</v>
      </c>
      <c r="J30" s="20" cm="1">
        <f t="array" aca="1" ref="J30" ca="1">_FV(Table1[[#This Row],[Symbol ]],"Price")</f>
        <v>12.22</v>
      </c>
      <c r="K30" s="13" t="str" cm="1">
        <f t="array" aca="1" ref="K30" ca="1">_FV(Table1[[#This Row],[Symbol ]],"Instrument type",TRUE)</f>
        <v>Stock</v>
      </c>
      <c r="L30" s="23"/>
    </row>
    <row r="31" spans="1:12" x14ac:dyDescent="0.4">
      <c r="A31" s="13" t="str" cm="1">
        <f t="array" aca="1" ref="A31" ca="1">_FV(B31,"Name")</f>
        <v>CALEDONIA MINING CORPORATION PLC</v>
      </c>
      <c r="B31" s="13" t="e" vm="33">
        <v>#VALUE!</v>
      </c>
      <c r="C31" s="14" cm="1">
        <f t="array" aca="1" ref="C31" ca="1">_FV(B31,"Change (%)",TRUE)</f>
        <v>4.1137E-2</v>
      </c>
      <c r="D31" s="15" cm="1">
        <f t="array" aca="1" ref="D31" ca="1">_FV(B31,"Beta")</f>
        <v>0.24959999999999999</v>
      </c>
      <c r="E31" s="13" t="str" cm="1">
        <f t="array" aca="1" ref="E31" ca="1">_FV(Table1[[#This Row],[Symbol ]],"Industry")</f>
        <v>Metals &amp; Mining</v>
      </c>
      <c r="F31" s="15" cm="1">
        <f t="array" aca="1" ref="F31" ca="1">_FV(Table1[[#This Row],[Symbol ]],"P/E",TRUE)</f>
        <v>12.9741</v>
      </c>
      <c r="G31" s="16" cm="1">
        <f t="array" aca="1" ref="G31" ca="1">_FV(Table1[[#This Row],[Symbol ]],"Volume average",TRUE)</f>
        <v>149279</v>
      </c>
      <c r="H31" s="16" cm="1">
        <f t="array" aca="1" ref="H31" ca="1">_FV(Table1[[#This Row],[Symbol ]],"Volume")</f>
        <v>167367</v>
      </c>
      <c r="I31" s="17" cm="1">
        <f t="array" aca="1" ref="I31" ca="1">_FV(Table1[[#This Row],[Symbol ]],"Market cap",TRUE)</f>
        <v>332063200</v>
      </c>
      <c r="J31" s="20" cm="1">
        <f t="array" aca="1" ref="J31" ca="1">_FV(Table1[[#This Row],[Symbol ]],"Price")</f>
        <v>17.21</v>
      </c>
      <c r="K31" s="13" t="str" cm="1">
        <f t="array" aca="1" ref="K31" ca="1">_FV(Table1[[#This Row],[Symbol ]],"Instrument type",TRUE)</f>
        <v>Stock</v>
      </c>
      <c r="L31" s="23"/>
    </row>
    <row r="32" spans="1:12" x14ac:dyDescent="0.4">
      <c r="A32" s="13" t="str" cm="1">
        <f t="array" aca="1" ref="A32" ca="1">_FV(B32,"Name")</f>
        <v>U.S. GOLD CORP</v>
      </c>
      <c r="B32" s="13" t="e" vm="34">
        <v>#VALUE!</v>
      </c>
      <c r="C32" s="14" cm="1">
        <f t="array" aca="1" ref="C32" ca="1">_FV(B32,"Change (%)",TRUE)</f>
        <v>3.2566999999999999E-2</v>
      </c>
      <c r="D32" s="15" cm="1">
        <f t="array" aca="1" ref="D32" ca="1">_FV(B32,"Beta")</f>
        <v>1.3189</v>
      </c>
      <c r="E32" s="13" t="str" cm="1">
        <f t="array" aca="1" ref="E32" ca="1">_FV(Table1[[#This Row],[Symbol ]],"Industry")</f>
        <v>Metals &amp; Mining</v>
      </c>
      <c r="F32" s="15" cm="1">
        <f t="array" aca="1" ref="F32" ca="1">_FV(Table1[[#This Row],[Symbol ]],"P/E",TRUE)</f>
        <v>0</v>
      </c>
      <c r="G32" s="16" cm="1">
        <f t="array" aca="1" ref="G32" ca="1">_FV(Table1[[#This Row],[Symbol ]],"Volume average",TRUE)</f>
        <v>366444</v>
      </c>
      <c r="H32" s="16" cm="1">
        <f t="array" aca="1" ref="H32" ca="1">_FV(Table1[[#This Row],[Symbol ]],"Volume")</f>
        <v>229118</v>
      </c>
      <c r="I32" s="17" cm="1">
        <f t="array" aca="1" ref="I32" ca="1">_FV(Table1[[#This Row],[Symbol ]],"Market cap",TRUE)</f>
        <v>136828200</v>
      </c>
      <c r="J32" s="20" cm="1">
        <f t="array" aca="1" ref="J32" ca="1">_FV(Table1[[#This Row],[Symbol ]],"Price")</f>
        <v>10.78</v>
      </c>
      <c r="K32" s="13" t="str" cm="1">
        <f t="array" aca="1" ref="K32" ca="1">_FV(Table1[[#This Row],[Symbol ]],"Instrument type",TRUE)</f>
        <v>Stock</v>
      </c>
      <c r="L32" s="23"/>
    </row>
    <row r="33" spans="1:12" x14ac:dyDescent="0.4">
      <c r="A33" s="13" t="str" cm="1">
        <f t="array" aca="1" ref="A33" ca="1">_FV(B33,"Name")</f>
        <v>Hydro One Limited</v>
      </c>
      <c r="B33" s="13" t="e" vm="35">
        <v>#VALUE!</v>
      </c>
      <c r="C33" s="14" cm="1">
        <f t="array" aca="1" ref="C33" ca="1">_FV(B33,"Change (%)",TRUE)</f>
        <v>9.8850000000000001E-4</v>
      </c>
      <c r="D33" s="15" cm="1">
        <f t="array" aca="1" ref="D33" ca="1">_FV(B33,"Beta")</f>
        <v>0.33310000000000001</v>
      </c>
      <c r="E33" s="13" t="str" cm="1">
        <f t="array" aca="1" ref="E33" ca="1">_FV(Table1[[#This Row],[Symbol ]],"Industry")</f>
        <v>Electrical Utilities &amp; IPPs</v>
      </c>
      <c r="F33" s="15" cm="1">
        <f t="array" aca="1" ref="F33" ca="1">_FV(Table1[[#This Row],[Symbol ]],"P/E",TRUE)</f>
        <v>24.882899999999999</v>
      </c>
      <c r="G33" s="16" cm="1">
        <f t="array" aca="1" ref="G33" ca="1">_FV(Table1[[#This Row],[Symbol ]],"Volume average",TRUE)</f>
        <v>1000440</v>
      </c>
      <c r="H33" s="16" cm="1">
        <f t="array" aca="1" ref="H33" ca="1">_FV(Table1[[#This Row],[Symbol ]],"Volume")</f>
        <v>293958</v>
      </c>
      <c r="I33" s="17" cm="1">
        <f t="array" aca="1" ref="I33" ca="1">_FV(Table1[[#This Row],[Symbol ]],"Market cap",TRUE)</f>
        <v>30366593061</v>
      </c>
      <c r="J33" s="20" cm="1">
        <f t="array" aca="1" ref="J33" ca="1">_FV(Table1[[#This Row],[Symbol ]],"Price")</f>
        <v>50.63</v>
      </c>
      <c r="K33" s="13" t="str" cm="1">
        <f t="array" aca="1" ref="K33" ca="1">_FV(Table1[[#This Row],[Symbol ]],"Instrument type",TRUE)</f>
        <v>Stock</v>
      </c>
      <c r="L33" s="23"/>
    </row>
    <row r="34" spans="1:12" x14ac:dyDescent="0.4">
      <c r="A34" s="13" t="str" cm="1">
        <f t="array" aca="1" ref="A34" ca="1">_FV(B34,"Name")</f>
        <v>Vanguard 500 Idx;ETF</v>
      </c>
      <c r="B34" s="13" t="e" vm="36">
        <v>#VALUE!</v>
      </c>
      <c r="C34" s="14" cm="1">
        <f t="array" aca="1" ref="C34" ca="1">_FV(B34,"Change (%)",TRUE)</f>
        <v>-6.7530000000000003E-3</v>
      </c>
      <c r="D34" s="15" cm="1">
        <f t="array" aca="1" ref="D34" ca="1">_FV(B34,"Beta")</f>
        <v>1.0002</v>
      </c>
      <c r="E34" s="13" t="s">
        <v>9</v>
      </c>
      <c r="F34" s="15" t="e" cm="1" vm="4">
        <f t="array" ref="F34">_FV(Table1[[#This Row],[Symbol ]],"P/E",TRUE)</f>
        <v>#VALUE!</v>
      </c>
      <c r="G34" s="16" cm="1">
        <f t="array" aca="1" ref="G34" ca="1">_FV(Table1[[#This Row],[Symbol ]],"Volume average",TRUE)</f>
        <v>6325780</v>
      </c>
      <c r="H34" s="16" cm="1">
        <f t="array" aca="1" ref="H34" ca="1">_FV(Table1[[#This Row],[Symbol ]],"Volume")</f>
        <v>6455875</v>
      </c>
      <c r="I34" s="17" cm="1">
        <f t="array" aca="1" ref="I34" ca="1">_FV(Table1[[#This Row],[Symbol ]],"Market cap",TRUE)</f>
        <v>607983902309</v>
      </c>
      <c r="J34" s="20" cm="1">
        <f t="array" aca="1" ref="J34" ca="1">_FV(Table1[[#This Row],[Symbol ]],"Price")</f>
        <v>532.4</v>
      </c>
      <c r="K34" s="13" t="str" cm="1">
        <f t="array" aca="1" ref="K34" ca="1">_FV(Table1[[#This Row],[Symbol ]],"Instrument type",TRUE)</f>
        <v>ETF</v>
      </c>
      <c r="L34" s="23"/>
    </row>
    <row r="35" spans="1:12" x14ac:dyDescent="0.4">
      <c r="A35" s="13" t="str" cm="1">
        <f t="array" aca="1" ref="A35" ca="1">_FV(B35,"Name")</f>
        <v>QUESTCORP MINING INC.</v>
      </c>
      <c r="B35" s="13" t="e" vm="37">
        <v>#VALUE!</v>
      </c>
      <c r="C35" s="14" cm="1">
        <f t="array" aca="1" ref="C35" ca="1">_FV(B35,"Change (%)",TRUE)</f>
        <v>2.7027000000000002E-2</v>
      </c>
      <c r="D35" s="15" t="e" cm="1" vm="25">
        <f t="array" ref="D35">_FV(B35,"Beta")</f>
        <v>#VALUE!</v>
      </c>
      <c r="E35" s="13" t="str" cm="1">
        <f t="array" aca="1" ref="E35" ca="1">_FV(Table1[[#This Row],[Symbol ]],"Industry")</f>
        <v>Metals &amp; Mining</v>
      </c>
      <c r="F35" s="15" t="e" cm="1" vm="4">
        <f t="array" ref="F35">_FV(Table1[[#This Row],[Symbol ]],"P/E",TRUE)</f>
        <v>#VALUE!</v>
      </c>
      <c r="G35" s="16" cm="1">
        <f t="array" aca="1" ref="G35" ca="1">_FV(Table1[[#This Row],[Symbol ]],"Volume average",TRUE)</f>
        <v>174940</v>
      </c>
      <c r="H35" s="16" cm="1">
        <f t="array" aca="1" ref="H35" ca="1">_FV(Table1[[#This Row],[Symbol ]],"Volume")</f>
        <v>18533</v>
      </c>
      <c r="I35" s="17" cm="1">
        <f t="array" aca="1" ref="I35" ca="1">_FV(Table1[[#This Row],[Symbol ]],"Market cap",TRUE)</f>
        <v>11646150</v>
      </c>
      <c r="J35" s="20" cm="1">
        <f t="array" aca="1" ref="J35" ca="1">_FV(Table1[[#This Row],[Symbol ]],"Price")</f>
        <v>0.19</v>
      </c>
      <c r="K35" s="13" t="str" cm="1">
        <f t="array" aca="1" ref="K35" ca="1">_FV(Table1[[#This Row],[Symbol ]],"Instrument type",TRUE)</f>
        <v>Stock</v>
      </c>
      <c r="L35" s="23"/>
    </row>
    <row r="36" spans="1:12" x14ac:dyDescent="0.4">
      <c r="A36" s="13" t="str" cm="1">
        <f t="array" aca="1" ref="A36" ca="1">_FV(B36,"Name")</f>
        <v>COSTCO WHOLESALE CORPORATION</v>
      </c>
      <c r="B36" s="13" t="e" vm="38">
        <v>#VALUE!</v>
      </c>
      <c r="C36" s="14" cm="1">
        <f t="array" aca="1" ref="C36" ca="1">_FV(B36,"Change (%)",TRUE)</f>
        <v>-1.0822E-2</v>
      </c>
      <c r="D36" s="15" cm="1">
        <f t="array" aca="1" ref="D36" ca="1">_FV(B36,"Beta")</f>
        <v>0.97</v>
      </c>
      <c r="E36" s="13" t="str" cm="1">
        <f t="array" aca="1" ref="E36" ca="1">_FV(Table1[[#This Row],[Symbol ]],"Industry")</f>
        <v>Diversified Retail</v>
      </c>
      <c r="F36" s="15" cm="1">
        <f t="array" aca="1" ref="F36" ca="1">_FV(Table1[[#This Row],[Symbol ]],"P/E",TRUE)</f>
        <v>54.580399999999997</v>
      </c>
      <c r="G36" s="16" cm="1">
        <f t="array" aca="1" ref="G36" ca="1">_FV(Table1[[#This Row],[Symbol ]],"Volume average",TRUE)</f>
        <v>2037020</v>
      </c>
      <c r="H36" s="16" cm="1">
        <f t="array" aca="1" ref="H36" ca="1">_FV(Table1[[#This Row],[Symbol ]],"Volume")</f>
        <v>1</v>
      </c>
      <c r="I36" s="17" cm="1">
        <f t="array" aca="1" ref="I36" ca="1">_FV(Table1[[#This Row],[Symbol ]],"Market cap",TRUE)</f>
        <v>454908500000</v>
      </c>
      <c r="J36" s="20" cm="1">
        <f t="array" aca="1" ref="J36" ca="1">_FV(Table1[[#This Row],[Symbol ]],"Price")</f>
        <v>904.9</v>
      </c>
      <c r="K36" s="13" t="str" cm="1">
        <f t="array" aca="1" ref="K36" ca="1">_FV(Table1[[#This Row],[Symbol ]],"Instrument type",TRUE)</f>
        <v>Stock</v>
      </c>
      <c r="L36" s="23"/>
    </row>
    <row r="37" spans="1:12" x14ac:dyDescent="0.4">
      <c r="A37" s="13" t="str" cm="1">
        <f t="array" aca="1" ref="A37" ca="1">_FV(B37,"Name")</f>
        <v>ABBVIE INC.</v>
      </c>
      <c r="B37" s="13" t="e" vm="39">
        <v>#VALUE!</v>
      </c>
      <c r="C37" s="14" cm="1">
        <f t="array" aca="1" ref="C37" ca="1">_FV(B37,"Change (%)",TRUE)</f>
        <v>3.9439999999999996E-3</v>
      </c>
      <c r="D37" s="15" cm="1">
        <f t="array" aca="1" ref="D37" ca="1">_FV(B37,"Beta")</f>
        <v>0.50460000000000005</v>
      </c>
      <c r="E37" s="13" t="str" cm="1">
        <f t="array" aca="1" ref="E37" ca="1">_FV(Table1[[#This Row],[Symbol ]],"Industry")</f>
        <v>Pharmaceuticals</v>
      </c>
      <c r="F37" s="15" cm="1">
        <f t="array" aca="1" ref="F37" ca="1">_FV(Table1[[#This Row],[Symbol ]],"P/E",TRUE)</f>
        <v>77.8352</v>
      </c>
      <c r="G37" s="16" cm="1">
        <f t="array" aca="1" ref="G37" ca="1">_FV(Table1[[#This Row],[Symbol ]],"Volume average",TRUE)</f>
        <v>7795679</v>
      </c>
      <c r="H37" s="16" cm="1">
        <f t="array" aca="1" ref="H37" ca="1">_FV(Table1[[#This Row],[Symbol ]],"Volume")</f>
        <v>4027044</v>
      </c>
      <c r="I37" s="17" cm="1">
        <f t="array" aca="1" ref="I37" ca="1">_FV(Table1[[#This Row],[Symbol ]],"Market cap",TRUE)</f>
        <v>323711000000</v>
      </c>
      <c r="J37" s="20" cm="1">
        <f t="array" aca="1" ref="J37" ca="1">_FV(Table1[[#This Row],[Symbol ]],"Price")</f>
        <v>183.26</v>
      </c>
      <c r="K37" s="13" t="str" cm="1">
        <f t="array" aca="1" ref="K37" ca="1">_FV(Table1[[#This Row],[Symbol ]],"Instrument type",TRUE)</f>
        <v>Stock</v>
      </c>
      <c r="L37" s="23"/>
    </row>
    <row r="38" spans="1:12" x14ac:dyDescent="0.4">
      <c r="A38" s="13" t="str" cm="1">
        <f t="array" aca="1" ref="A38" ca="1">_FV(B38,"Name")</f>
        <v>RIGETTI COMPUTING, INC</v>
      </c>
      <c r="B38" s="13" t="e" vm="40">
        <v>#VALUE!</v>
      </c>
      <c r="C38" s="14" cm="1">
        <f t="array" aca="1" ref="C38" ca="1">_FV(B38,"Change (%)",TRUE)</f>
        <v>1.1544E-2</v>
      </c>
      <c r="D38" s="15" cm="1">
        <f t="array" aca="1" ref="D38" ca="1">_FV(B38,"Beta")</f>
        <v>1.5569</v>
      </c>
      <c r="E38" s="13" t="s">
        <v>951</v>
      </c>
      <c r="F38" s="15" cm="1">
        <f t="array" aca="1" ref="F38" ca="1">_FV(Table1[[#This Row],[Symbol ]],"P/E",TRUE)</f>
        <v>0</v>
      </c>
      <c r="G38" s="16" cm="1">
        <f t="array" aca="1" ref="G38" ca="1">_FV(Table1[[#This Row],[Symbol ]],"Volume average",TRUE)</f>
        <v>51297261</v>
      </c>
      <c r="H38" s="16" cm="1">
        <f t="array" aca="1" ref="H38" ca="1">_FV(Table1[[#This Row],[Symbol ]],"Volume")</f>
        <v>107968820</v>
      </c>
      <c r="I38" s="17" cm="1">
        <f t="array" aca="1" ref="I38" ca="1">_FV(Table1[[#This Row],[Symbol ]],"Market cap",TRUE)</f>
        <v>4070327000</v>
      </c>
      <c r="J38" s="20" cm="1">
        <f t="array" aca="1" ref="J38" ca="1">_FV(Table1[[#This Row],[Symbol ]],"Price")</f>
        <v>14.02</v>
      </c>
      <c r="K38" s="13" t="str" cm="1">
        <f t="array" aca="1" ref="K38" ca="1">_FV(Table1[[#This Row],[Symbol ]],"Instrument type",TRUE)</f>
        <v>Stock</v>
      </c>
      <c r="L38" s="24"/>
    </row>
    <row r="39" spans="1:12" x14ac:dyDescent="0.4">
      <c r="A39" s="13" t="str" cm="1">
        <f t="array" aca="1" ref="A39" ca="1">_FV(B39,"Name")</f>
        <v>QUANTUM COMPUTING INC.</v>
      </c>
      <c r="B39" s="13" t="e" vm="41">
        <v>#VALUE!</v>
      </c>
      <c r="C39" s="14" cm="1">
        <f t="array" aca="1" ref="C39" ca="1">_FV(B39,"Change (%)",TRUE)</f>
        <v>0.10273400000000001</v>
      </c>
      <c r="D39" s="15" cm="1">
        <f t="array" aca="1" ref="D39" ca="1">_FV(B39,"Beta")</f>
        <v>3.8896999999999999</v>
      </c>
      <c r="E39" s="13" t="s">
        <v>951</v>
      </c>
      <c r="F39" s="15" cm="1">
        <f t="array" aca="1" ref="F39" ca="1">_FV(Table1[[#This Row],[Symbol ]],"P/E",TRUE)</f>
        <v>0</v>
      </c>
      <c r="G39" s="16" cm="1">
        <f t="array" aca="1" ref="G39" ca="1">_FV(Table1[[#This Row],[Symbol ]],"Volume average",TRUE)</f>
        <v>19257925</v>
      </c>
      <c r="H39" s="16" cm="1">
        <f t="array" aca="1" ref="H39" ca="1">_FV(Table1[[#This Row],[Symbol ]],"Volume")</f>
        <v>88710866</v>
      </c>
      <c r="I39" s="17" cm="1">
        <f t="array" aca="1" ref="I39" ca="1">_FV(Table1[[#This Row],[Symbol ]],"Market cap",TRUE)</f>
        <v>1875426000</v>
      </c>
      <c r="J39" s="20" cm="1">
        <f t="array" aca="1" ref="J39" ca="1">_FV(Table1[[#This Row],[Symbol ]],"Price")</f>
        <v>13.31</v>
      </c>
      <c r="K39" s="13" t="str" cm="1">
        <f t="array" aca="1" ref="K39" ca="1">_FV(Table1[[#This Row],[Symbol ]],"Instrument type",TRUE)</f>
        <v>Stock</v>
      </c>
      <c r="L39" s="24"/>
    </row>
    <row r="40" spans="1:12" x14ac:dyDescent="0.4">
      <c r="A40" s="13" t="str" cm="1">
        <f t="array" aca="1" ref="A40" ca="1">_FV(B40,"Name")</f>
        <v>INTERNATIONAL BUSINESS MACHINES CORPORATION</v>
      </c>
      <c r="B40" s="13" t="e" vm="42">
        <v>#VALUE!</v>
      </c>
      <c r="C40" s="14" cm="1">
        <f t="array" aca="1" ref="C40" ca="1">_FV(B40,"Change (%)",TRUE)</f>
        <v>1.0059999999999999E-3</v>
      </c>
      <c r="D40" s="15" cm="1">
        <f t="array" aca="1" ref="D40" ca="1">_FV(B40,"Beta")</f>
        <v>0.64119999999999999</v>
      </c>
      <c r="E40" s="13" t="str" cm="1">
        <f t="array" aca="1" ref="E40" ca="1">_FV(Table1[[#This Row],[Symbol ]],"Industry")</f>
        <v>Software &amp; IT Services</v>
      </c>
      <c r="F40" s="15" cm="1">
        <f t="array" aca="1" ref="F40" ca="1">_FV(Table1[[#This Row],[Symbol ]],"P/E",TRUE)</f>
        <v>44.1997</v>
      </c>
      <c r="G40" s="16" cm="1">
        <f t="array" aca="1" ref="G40" ca="1">_FV(Table1[[#This Row],[Symbol ]],"Volume average",TRUE)</f>
        <v>4558028</v>
      </c>
      <c r="H40" s="16" cm="1">
        <f t="array" aca="1" ref="H40" ca="1">_FV(Table1[[#This Row],[Symbol ]],"Volume")</f>
        <v>2722721</v>
      </c>
      <c r="I40" s="17" cm="1">
        <f t="array" aca="1" ref="I40" ca="1">_FV(Table1[[#This Row],[Symbol ]],"Market cap",TRUE)</f>
        <v>240369800000</v>
      </c>
      <c r="J40" s="20" cm="1">
        <f t="array" aca="1" ref="J40" ca="1">_FV(Table1[[#This Row],[Symbol ]],"Price")</f>
        <v>258.63</v>
      </c>
      <c r="K40" s="13" t="str" cm="1">
        <f t="array" aca="1" ref="K40" ca="1">_FV(Table1[[#This Row],[Symbol ]],"Instrument type",TRUE)</f>
        <v>Stock</v>
      </c>
      <c r="L40" s="23"/>
    </row>
    <row r="41" spans="1:12" x14ac:dyDescent="0.4">
      <c r="A41" s="13" t="str" cm="1">
        <f t="array" aca="1" ref="A41" ca="1">_FV(B41,"Name")</f>
        <v>VISA INC.</v>
      </c>
      <c r="B41" s="13" t="e" vm="43">
        <v>#VALUE!</v>
      </c>
      <c r="C41" s="14" cm="1">
        <f t="array" aca="1" ref="C41" ca="1">_FV(B41,"Change (%)",TRUE)</f>
        <v>-1.2375000000000001E-2</v>
      </c>
      <c r="D41" s="15" cm="1">
        <f t="array" aca="1" ref="D41" ca="1">_FV(B41,"Beta")</f>
        <v>0.93840000000000001</v>
      </c>
      <c r="E41" s="13" t="str" cm="1">
        <f t="array" aca="1" ref="E41" ca="1">_FV(Table1[[#This Row],[Symbol ]],"Industry")</f>
        <v>Software &amp; IT Services</v>
      </c>
      <c r="F41" s="15" cm="1">
        <f t="array" aca="1" ref="F41" ca="1">_FV(Table1[[#This Row],[Symbol ]],"P/E",TRUE)</f>
        <v>35.954000000000001</v>
      </c>
      <c r="G41" s="16" cm="1">
        <f t="array" aca="1" ref="G41" ca="1">_FV(Table1[[#This Row],[Symbol ]],"Volume average",TRUE)</f>
        <v>5759647</v>
      </c>
      <c r="H41" s="16" cm="1">
        <f t="array" aca="1" ref="H41" ca="1">_FV(Table1[[#This Row],[Symbol ]],"Volume")</f>
        <v>5346050</v>
      </c>
      <c r="I41" s="17" cm="1">
        <f t="array" aca="1" ref="I41" ca="1">_FV(Table1[[#This Row],[Symbol ]],"Market cap",TRUE)</f>
        <v>685570400000</v>
      </c>
      <c r="J41" s="20" cm="1">
        <f t="array" aca="1" ref="J41" ca="1">_FV(Table1[[#This Row],[Symbol ]],"Price")</f>
        <v>353.54</v>
      </c>
      <c r="K41" s="13" t="str" cm="1">
        <f t="array" aca="1" ref="K41" ca="1">_FV(Table1[[#This Row],[Symbol ]],"Instrument type",TRUE)</f>
        <v>Stock</v>
      </c>
    </row>
    <row r="42" spans="1:12" x14ac:dyDescent="0.4">
      <c r="A42" s="13" t="str" cm="1">
        <f t="array" aca="1" ref="A42" ca="1">_FV(B42,"Name")</f>
        <v>MASTERCARD INCORPORATED.</v>
      </c>
      <c r="B42" s="13" t="e" vm="44">
        <v>#VALUE!</v>
      </c>
      <c r="C42" s="14" cm="1">
        <f t="array" aca="1" ref="C42" ca="1">_FV(B42,"Change (%)",TRUE)</f>
        <v>-1.1506000000000001E-2</v>
      </c>
      <c r="D42" s="15" cm="1">
        <f t="array" aca="1" ref="D42" ca="1">_FV(B42,"Beta")</f>
        <v>1.0452999999999999</v>
      </c>
      <c r="E42" s="13" t="str" cm="1">
        <f t="array" aca="1" ref="E42" ca="1">_FV(Table1[[#This Row],[Symbol ]],"Industry")</f>
        <v>Software &amp; IT Services</v>
      </c>
      <c r="F42" s="15" cm="1">
        <f t="array" aca="1" ref="F42" ca="1">_FV(Table1[[#This Row],[Symbol ]],"P/E",TRUE)</f>
        <v>39.981900000000003</v>
      </c>
      <c r="G42" s="16" cm="1">
        <f t="array" aca="1" ref="G42" ca="1">_FV(Table1[[#This Row],[Symbol ]],"Volume average",TRUE)</f>
        <v>2397708</v>
      </c>
      <c r="H42" s="16" cm="1">
        <f t="array" aca="1" ref="H42" ca="1">_FV(Table1[[#This Row],[Symbol ]],"Volume")</f>
        <v>1948806</v>
      </c>
      <c r="I42" s="17" cm="1">
        <f t="array" aca="1" ref="I42" ca="1">_FV(Table1[[#This Row],[Symbol ]],"Market cap",TRUE)</f>
        <v>511757500000</v>
      </c>
      <c r="J42" s="20" cm="1">
        <f t="array" aca="1" ref="J42" ca="1">_FV(Table1[[#This Row],[Symbol ]],"Price")</f>
        <v>563.58000000000004</v>
      </c>
      <c r="K42" s="13" t="str" cm="1">
        <f t="array" aca="1" ref="K42" ca="1">_FV(Table1[[#This Row],[Symbol ]],"Instrument type",TRUE)</f>
        <v>Stock</v>
      </c>
    </row>
    <row r="43" spans="1:12" x14ac:dyDescent="0.4">
      <c r="A43" s="13" t="str" cm="1">
        <f t="array" aca="1" ref="A43" ca="1">_FV(B43,"Name")</f>
        <v>EASON TECHNOLOGY LIMITED</v>
      </c>
      <c r="B43" s="13" t="e" vm="45">
        <v>#VALUE!</v>
      </c>
      <c r="C43" s="14" cm="1">
        <f t="array" aca="1" ref="C43" ca="1">_FV(B43,"Change (%)",TRUE)</f>
        <v>-6.1643999999999997E-2</v>
      </c>
      <c r="D43" s="15" cm="1">
        <f t="array" aca="1" ref="D43" ca="1">_FV(B43,"Beta")</f>
        <v>3.2189999999999999</v>
      </c>
      <c r="E43" s="13" t="str" cm="1">
        <f t="array" aca="1" ref="E43" ca="1">_FV(Table1[[#This Row],[Symbol ]],"Industry")</f>
        <v>Banking Services</v>
      </c>
      <c r="F43" s="15" t="e" cm="1" vm="4">
        <f t="array" ref="F43">_FV(Table1[[#This Row],[Symbol ]],"P/E",TRUE)</f>
        <v>#VALUE!</v>
      </c>
      <c r="G43" s="16" cm="1">
        <f t="array" aca="1" ref="G43" ca="1">_FV(Table1[[#This Row],[Symbol ]],"Volume average",TRUE)</f>
        <v>464803</v>
      </c>
      <c r="H43" s="16" cm="1">
        <f t="array" aca="1" ref="H43" ca="1">_FV(Table1[[#This Row],[Symbol ]],"Volume")</f>
        <v>130718</v>
      </c>
      <c r="I43" s="17" cm="1">
        <f t="array" aca="1" ref="I43" ca="1">_FV(Table1[[#This Row],[Symbol ]],"Market cap",TRUE)</f>
        <v>1598890</v>
      </c>
      <c r="J43" s="20" cm="1">
        <f t="array" aca="1" ref="J43" ca="1">_FV(Table1[[#This Row],[Symbol ]],"Price")</f>
        <v>6.85</v>
      </c>
      <c r="K43" s="13" t="str" cm="1">
        <f t="array" aca="1" ref="K43" ca="1">_FV(Table1[[#This Row],[Symbol ]],"Instrument type",TRUE)</f>
        <v>Stock</v>
      </c>
    </row>
    <row r="44" spans="1:12" x14ac:dyDescent="0.4">
      <c r="A44" s="13" t="str" cm="1">
        <f t="array" aca="1" ref="A44" ca="1">_FV(B44,"Name")</f>
        <v>THE TORONTO-DOMINION BANK</v>
      </c>
      <c r="B44" s="13" t="e" vm="46">
        <v>#VALUE!</v>
      </c>
      <c r="C44" s="14" cm="1">
        <f t="array" aca="1" ref="C44" ca="1">_FV(B44,"Change (%)",TRUE)</f>
        <v>1.1202E-2</v>
      </c>
      <c r="D44" s="15" cm="1">
        <f t="array" aca="1" ref="D44" ca="1">_FV(B44,"Beta")</f>
        <v>0.98660000000000003</v>
      </c>
      <c r="E44" s="13" t="str" cm="1">
        <f t="array" aca="1" ref="E44" ca="1">_FV(Table1[[#This Row],[Symbol ]],"Industry")</f>
        <v>Banking Services</v>
      </c>
      <c r="F44" s="15" cm="1">
        <f t="array" aca="1" ref="F44" ca="1">_FV(Table1[[#This Row],[Symbol ]],"P/E",TRUE)</f>
        <v>9.5749999999999993</v>
      </c>
      <c r="G44" s="16" cm="1">
        <f t="array" aca="1" ref="G44" ca="1">_FV(Table1[[#This Row],[Symbol ]],"Volume average",TRUE)</f>
        <v>1858744</v>
      </c>
      <c r="H44" s="16" cm="1">
        <f t="array" aca="1" ref="H44" ca="1">_FV(Table1[[#This Row],[Symbol ]],"Volume")</f>
        <v>2348014</v>
      </c>
      <c r="I44" s="17" cm="1">
        <f t="array" aca="1" ref="I44" ca="1">_FV(Table1[[#This Row],[Symbol ]],"Market cap",TRUE)</f>
        <v>159905400000</v>
      </c>
      <c r="J44" s="20" cm="1">
        <f t="array" aca="1" ref="J44" ca="1">_FV(Table1[[#This Row],[Symbol ]],"Price")</f>
        <v>67.7</v>
      </c>
      <c r="K44" s="13" t="str" cm="1">
        <f t="array" aca="1" ref="K44" ca="1">_FV(Table1[[#This Row],[Symbol ]],"Instrument type",TRUE)</f>
        <v>Stock</v>
      </c>
    </row>
    <row r="45" spans="1:12" x14ac:dyDescent="0.4">
      <c r="A45" s="13" t="str" cm="1">
        <f t="array" aca="1" ref="A45" ca="1">_FV(B45,"Name")</f>
        <v>Canadian Pacific Kansas City Limited</v>
      </c>
      <c r="B45" s="13" t="e" vm="47">
        <v>#VALUE!</v>
      </c>
      <c r="C45" s="14" cm="1">
        <f t="array" aca="1" ref="C45" ca="1">_FV(B45,"Change (%)",TRUE)</f>
        <v>-2.8610000000000003E-3</v>
      </c>
      <c r="D45" s="15" cm="1">
        <f t="array" aca="1" ref="D45" ca="1">_FV(B45,"Beta")</f>
        <v>1.0572999999999999</v>
      </c>
      <c r="E45" s="13" t="str" cm="1">
        <f t="array" aca="1" ref="E45" ca="1">_FV(Table1[[#This Row],[Symbol ]],"Industry")</f>
        <v>Freight &amp; Logistics Services</v>
      </c>
      <c r="F45" s="15" cm="1">
        <f t="array" aca="1" ref="F45" ca="1">_FV(Table1[[#This Row],[Symbol ]],"P/E",TRUE)</f>
        <v>28.054600000000001</v>
      </c>
      <c r="G45" s="16" cm="1">
        <f t="array" aca="1" ref="G45" ca="1">_FV(Table1[[#This Row],[Symbol ]],"Volume average",TRUE)</f>
        <v>3358068</v>
      </c>
      <c r="H45" s="16" cm="1">
        <f t="array" aca="1" ref="H45" ca="1">_FV(Table1[[#This Row],[Symbol ]],"Volume")</f>
        <v>2040246</v>
      </c>
      <c r="I45" s="17" cm="1">
        <f t="array" aca="1" ref="I45" ca="1">_FV(Table1[[#This Row],[Symbol ]],"Market cap",TRUE)</f>
        <v>102331600000</v>
      </c>
      <c r="J45" s="20" cm="1">
        <f t="array" aca="1" ref="J45" ca="1">_FV(Table1[[#This Row],[Symbol ]],"Price")</f>
        <v>80.17</v>
      </c>
      <c r="K45" s="13" t="str" cm="1">
        <f t="array" aca="1" ref="K45" ca="1">_FV(Table1[[#This Row],[Symbol ]],"Instrument type",TRUE)</f>
        <v>Stock</v>
      </c>
    </row>
    <row r="46" spans="1:12" x14ac:dyDescent="0.4">
      <c r="A46" s="13" t="str" cm="1">
        <f t="array" aca="1" ref="A46" ca="1">_FV(B46,"Name")</f>
        <v>THE BOEING COMPANY</v>
      </c>
      <c r="B46" s="13" t="e" vm="48">
        <v>#VALUE!</v>
      </c>
      <c r="C46" s="14" cm="1">
        <f t="array" aca="1" ref="C46" ca="1">_FV(B46,"Change (%)",TRUE)</f>
        <v>-5.1619999999999999E-3</v>
      </c>
      <c r="D46" s="15" cm="1">
        <f t="array" aca="1" ref="D46" ca="1">_FV(B46,"Beta")</f>
        <v>1.4228000000000001</v>
      </c>
      <c r="E46" s="13" t="str" cm="1">
        <f t="array" aca="1" ref="E46" ca="1">_FV(Table1[[#This Row],[Symbol ]],"Industry")</f>
        <v>Aerospace &amp; Defense</v>
      </c>
      <c r="F46" s="15" t="e" cm="1" vm="4">
        <f t="array" ref="F46">_FV(Table1[[#This Row],[Symbol ]],"P/E",TRUE)</f>
        <v>#VALUE!</v>
      </c>
      <c r="G46" s="16" cm="1">
        <f t="array" aca="1" ref="G46" ca="1">_FV(Table1[[#This Row],[Symbol ]],"Volume average",TRUE)</f>
        <v>8659960</v>
      </c>
      <c r="H46" s="16" cm="1">
        <f t="array" aca="1" ref="H46" ca="1">_FV(Table1[[#This Row],[Symbol ]],"Volume")</f>
        <v>5255185</v>
      </c>
      <c r="I46" s="17" cm="1">
        <f t="array" aca="1" ref="I46" ca="1">_FV(Table1[[#This Row],[Symbol ]],"Market cap",TRUE)</f>
        <v>152580500000</v>
      </c>
      <c r="J46" s="20" cm="1">
        <f t="array" aca="1" ref="J46" ca="1">_FV(Table1[[#This Row],[Symbol ]],"Price")</f>
        <v>202.36</v>
      </c>
      <c r="K46" s="13" t="str" cm="1">
        <f t="array" aca="1" ref="K46" ca="1">_FV(Table1[[#This Row],[Symbol ]],"Instrument type",TRUE)</f>
        <v>Stock</v>
      </c>
    </row>
    <row r="47" spans="1:12" x14ac:dyDescent="0.4">
      <c r="A47" s="13" t="str" cm="1">
        <f t="array" aca="1" ref="A47" ca="1">_FV(B47,"Name")</f>
        <v>LOCKHEED MARTIN CORPORATION</v>
      </c>
      <c r="B47" s="13" t="e" vm="49">
        <v>#VALUE!</v>
      </c>
      <c r="C47" s="14" cm="1">
        <f t="array" aca="1" ref="C47" ca="1">_FV(B47,"Change (%)",TRUE)</f>
        <v>-3.3370000000000001E-3</v>
      </c>
      <c r="D47" s="15" cm="1">
        <f t="array" aca="1" ref="D47" ca="1">_FV(B47,"Beta")</f>
        <v>0.28599999999999998</v>
      </c>
      <c r="E47" s="13" t="str" cm="1">
        <f t="array" aca="1" ref="E47" ca="1">_FV(Table1[[#This Row],[Symbol ]],"Industry")</f>
        <v>Aerospace &amp; Defense</v>
      </c>
      <c r="F47" s="15" cm="1">
        <f t="array" aca="1" ref="F47" ca="1">_FV(Table1[[#This Row],[Symbol ]],"P/E",TRUE)</f>
        <v>20.322199999999999</v>
      </c>
      <c r="G47" s="16" cm="1">
        <f t="array" aca="1" ref="G47" ca="1">_FV(Table1[[#This Row],[Symbol ]],"Volume average",TRUE)</f>
        <v>1449829</v>
      </c>
      <c r="H47" s="16" cm="1">
        <f t="array" aca="1" ref="H47" ca="1">_FV(Table1[[#This Row],[Symbol ]],"Volume")</f>
        <v>866694</v>
      </c>
      <c r="I47" s="17" cm="1">
        <f t="array" aca="1" ref="I47" ca="1">_FV(Table1[[#This Row],[Symbol ]],"Market cap",TRUE)</f>
        <v>109856700000</v>
      </c>
      <c r="J47" s="20" cm="1">
        <f t="array" aca="1" ref="J47" ca="1">_FV(Table1[[#This Row],[Symbol ]],"Price")</f>
        <v>468.88</v>
      </c>
      <c r="K47" s="13" t="str" cm="1">
        <f t="array" aca="1" ref="K47" ca="1">_FV(Table1[[#This Row],[Symbol ]],"Instrument type",TRUE)</f>
        <v>Stock</v>
      </c>
    </row>
    <row r="48" spans="1:12" x14ac:dyDescent="0.4">
      <c r="A48" s="13" t="str" cm="1">
        <f t="array" aca="1" ref="A48" ca="1">_FV(B48,"Name")</f>
        <v>CAMECO CORPORATION</v>
      </c>
      <c r="B48" s="13" t="e" vm="50">
        <v>#VALUE!</v>
      </c>
      <c r="C48" s="14" cm="1">
        <f t="array" aca="1" ref="C48" ca="1">_FV(B48,"Change (%)",TRUE)</f>
        <v>0.111343</v>
      </c>
      <c r="D48" s="15" cm="1">
        <f t="array" aca="1" ref="D48" ca="1">_FV(B48,"Beta")</f>
        <v>0.93479999999999996</v>
      </c>
      <c r="E48" s="13" t="s">
        <v>954</v>
      </c>
      <c r="F48" s="15" cm="1">
        <f t="array" aca="1" ref="F48" ca="1">_FV(Table1[[#This Row],[Symbol ]],"P/E",TRUE)</f>
        <v>133.22649999999999</v>
      </c>
      <c r="G48" s="16" cm="1">
        <f t="array" aca="1" ref="G48" ca="1">_FV(Table1[[#This Row],[Symbol ]],"Volume average",TRUE)</f>
        <v>3897430</v>
      </c>
      <c r="H48" s="16" cm="1">
        <f t="array" aca="1" ref="H48" ca="1">_FV(Table1[[#This Row],[Symbol ]],"Volume")</f>
        <v>13341308</v>
      </c>
      <c r="I48" s="17" cm="1">
        <f t="array" aca="1" ref="I48" ca="1">_FV(Table1[[#This Row],[Symbol ]],"Market cap",TRUE)</f>
        <v>25548750000</v>
      </c>
      <c r="J48" s="20" cm="1">
        <f t="array" aca="1" ref="J48" ca="1">_FV(Table1[[#This Row],[Symbol ]],"Price")</f>
        <v>58.69</v>
      </c>
      <c r="K48" s="13" t="str" cm="1">
        <f t="array" aca="1" ref="K48" ca="1">_FV(Table1[[#This Row],[Symbol ]],"Instrument type",TRUE)</f>
        <v>Stock</v>
      </c>
    </row>
    <row r="49" spans="1:11" x14ac:dyDescent="0.4">
      <c r="A49" s="13" t="str" cm="1">
        <f t="array" aca="1" ref="A49" ca="1">_FV(B49,"Name")</f>
        <v>BWX TECHNOLOGIES, INC.</v>
      </c>
      <c r="B49" s="13" t="e" vm="51">
        <v>#VALUE!</v>
      </c>
      <c r="C49" s="14" cm="1">
        <f t="array" aca="1" ref="C49" ca="1">_FV(B49,"Change (%)",TRUE)</f>
        <v>0.110295</v>
      </c>
      <c r="D49" s="15" cm="1">
        <f t="array" aca="1" ref="D49" ca="1">_FV(B49,"Beta")</f>
        <v>0.628</v>
      </c>
      <c r="E49" s="13" t="s">
        <v>954</v>
      </c>
      <c r="F49" s="15" cm="1">
        <f t="array" aca="1" ref="F49" ca="1">_FV(Table1[[#This Row],[Symbol ]],"P/E",TRUE)</f>
        <v>34.216099999999997</v>
      </c>
      <c r="G49" s="16" cm="1">
        <f t="array" aca="1" ref="G49" ca="1">_FV(Table1[[#This Row],[Symbol ]],"Volume average",TRUE)</f>
        <v>832548</v>
      </c>
      <c r="H49" s="16" cm="1">
        <f t="array" aca="1" ref="H49" ca="1">_FV(Table1[[#This Row],[Symbol ]],"Volume")</f>
        <v>2594266</v>
      </c>
      <c r="I49" s="17" cm="1">
        <f t="array" aca="1" ref="I49" ca="1">_FV(Table1[[#This Row],[Symbol ]],"Market cap",TRUE)</f>
        <v>10916690000</v>
      </c>
      <c r="J49" s="20" cm="1">
        <f t="array" aca="1" ref="J49" ca="1">_FV(Table1[[#This Row],[Symbol ]],"Price")</f>
        <v>119.49</v>
      </c>
      <c r="K49" s="13" t="str" cm="1">
        <f t="array" aca="1" ref="K49" ca="1">_FV(Table1[[#This Row],[Symbol ]],"Instrument type",TRUE)</f>
        <v>Stock</v>
      </c>
    </row>
    <row r="50" spans="1:11" x14ac:dyDescent="0.4">
      <c r="A50" s="13" t="str" cm="1">
        <f t="array" aca="1" ref="A50" ca="1">_FV(B50,"Name")</f>
        <v>OKLO INC.</v>
      </c>
      <c r="B50" s="13" t="e" vm="52">
        <v>#VALUE!</v>
      </c>
      <c r="C50" s="14" cm="1">
        <f t="array" aca="1" ref="C50" ca="1">_FV(B50,"Change (%)",TRUE)</f>
        <v>0.23036300000000001</v>
      </c>
      <c r="D50" s="15" cm="1">
        <f t="array" aca="1" ref="D50" ca="1">_FV(B50,"Beta")</f>
        <v>0.3352</v>
      </c>
      <c r="E50" s="13" t="s">
        <v>954</v>
      </c>
      <c r="F50" s="15" t="e" cm="1" vm="4">
        <f t="array" ref="F50">_FV(Table1[[#This Row],[Symbol ]],"P/E",TRUE)</f>
        <v>#VALUE!</v>
      </c>
      <c r="G50" s="16" cm="1">
        <f t="array" aca="1" ref="G50" ca="1">_FV(Table1[[#This Row],[Symbol ]],"Volume average",TRUE)</f>
        <v>14019079</v>
      </c>
      <c r="H50" s="16" cm="1">
        <f t="array" aca="1" ref="H50" ca="1">_FV(Table1[[#This Row],[Symbol ]],"Volume")</f>
        <v>92503108</v>
      </c>
      <c r="I50" s="17" cm="1">
        <f t="array" aca="1" ref="I50" ca="1">_FV(Table1[[#This Row],[Symbol ]],"Market cap",TRUE)</f>
        <v>6802958000</v>
      </c>
      <c r="J50" s="20" cm="1">
        <f t="array" aca="1" ref="J50" ca="1">_FV(Table1[[#This Row],[Symbol ]],"Price")</f>
        <v>48.87</v>
      </c>
      <c r="K50" s="13" t="str" cm="1">
        <f t="array" aca="1" ref="K50" ca="1">_FV(Table1[[#This Row],[Symbol ]],"Instrument type",TRUE)</f>
        <v>Stock</v>
      </c>
    </row>
    <row r="51" spans="1:11" x14ac:dyDescent="0.4">
      <c r="A51" s="13" t="str" cm="1">
        <f t="array" aca="1" ref="A51" ca="1">_FV(B51,"Name")</f>
        <v>NUSCALE POWER CORPORATION</v>
      </c>
      <c r="B51" s="13" t="e" vm="53">
        <v>#VALUE!</v>
      </c>
      <c r="C51" s="14" cm="1">
        <f t="array" aca="1" ref="C51" ca="1">_FV(B51,"Change (%)",TRUE)</f>
        <v>0.19431300000000001</v>
      </c>
      <c r="D51" s="15" cm="1">
        <f t="array" aca="1" ref="D51" ca="1">_FV(B51,"Beta")</f>
        <v>1.8533999999999999</v>
      </c>
      <c r="E51" s="13" t="s">
        <v>954</v>
      </c>
      <c r="F51" s="15" t="e" cm="1" vm="4">
        <f t="array" ref="F51">_FV(Table1[[#This Row],[Symbol ]],"P/E",TRUE)</f>
        <v>#VALUE!</v>
      </c>
      <c r="G51" s="16" cm="1">
        <f t="array" aca="1" ref="G51" ca="1">_FV(Table1[[#This Row],[Symbol ]],"Volume average",TRUE)</f>
        <v>8078435</v>
      </c>
      <c r="H51" s="16" cm="1">
        <f t="array" aca="1" ref="H51" ca="1">_FV(Table1[[#This Row],[Symbol ]],"Volume")</f>
        <v>48870367</v>
      </c>
      <c r="I51" s="17" cm="1">
        <f t="array" aca="1" ref="I51" ca="1">_FV(Table1[[#This Row],[Symbol ]],"Market cap",TRUE)</f>
        <v>8600041000</v>
      </c>
      <c r="J51" s="20" cm="1">
        <f t="array" aca="1" ref="J51" ca="1">_FV(Table1[[#This Row],[Symbol ]],"Price")</f>
        <v>30.24</v>
      </c>
      <c r="K51" s="13" t="str" cm="1">
        <f t="array" aca="1" ref="K51" ca="1">_FV(Table1[[#This Row],[Symbol ]],"Instrument type",TRUE)</f>
        <v>Stock</v>
      </c>
    </row>
    <row r="52" spans="1:11" x14ac:dyDescent="0.4">
      <c r="A52" s="13" t="str" cm="1">
        <f t="array" aca="1" ref="A52" ca="1">_FV(B52,"Name")</f>
        <v>CENTRUS ENERGY CORP.</v>
      </c>
      <c r="B52" s="13" t="e" vm="54">
        <v>#VALUE!</v>
      </c>
      <c r="C52" s="14" cm="1">
        <f t="array" aca="1" ref="C52" ca="1">_FV(B52,"Change (%)",TRUE)</f>
        <v>0.215949</v>
      </c>
      <c r="D52" s="15" cm="1">
        <f t="array" aca="1" ref="D52" ca="1">_FV(B52,"Beta")</f>
        <v>1.2323</v>
      </c>
      <c r="E52" s="13" t="s">
        <v>954</v>
      </c>
      <c r="F52" s="15" cm="1">
        <f t="array" aca="1" ref="F52" ca="1">_FV(Table1[[#This Row],[Symbol ]],"P/E",TRUE)</f>
        <v>14.611800000000001</v>
      </c>
      <c r="G52" s="16" cm="1">
        <f t="array" aca="1" ref="G52" ca="1">_FV(Table1[[#This Row],[Symbol ]],"Volume average",TRUE)</f>
        <v>634851</v>
      </c>
      <c r="H52" s="16" cm="1">
        <f t="array" aca="1" ref="H52" ca="1">_FV(Table1[[#This Row],[Symbol ]],"Volume")</f>
        <v>4260230</v>
      </c>
      <c r="I52" s="17" cm="1">
        <f t="array" aca="1" ref="I52" ca="1">_FV(Table1[[#This Row],[Symbol ]],"Market cap",TRUE)</f>
        <v>1930152000</v>
      </c>
      <c r="J52" s="20" cm="1">
        <f t="array" aca="1" ref="J52" ca="1">_FV(Table1[[#This Row],[Symbol ]],"Price")</f>
        <v>113.29</v>
      </c>
      <c r="K52" s="13" t="str" cm="1">
        <f t="array" aca="1" ref="K52" ca="1">_FV(Table1[[#This Row],[Symbol ]],"Instrument type",TRUE)</f>
        <v>Stock</v>
      </c>
    </row>
    <row r="53" spans="1:11" x14ac:dyDescent="0.4">
      <c r="A53" s="13" t="str" cm="1">
        <f t="array" aca="1" ref="A53" ca="1">_FV(B53,"Name")</f>
        <v>Nano Nuclear Energy Inc</v>
      </c>
      <c r="B53" s="13" t="e" vm="55">
        <v>#VALUE!</v>
      </c>
      <c r="C53" s="14" cm="1">
        <f t="array" aca="1" ref="C53" ca="1">_FV(B53,"Change (%)",TRUE)</f>
        <v>0.30068899999999998</v>
      </c>
      <c r="D53" s="15" cm="1">
        <f t="array" aca="1" ref="D53" ca="1">_FV(B53,"Beta")</f>
        <v>4.7759999999999998</v>
      </c>
      <c r="E53" s="13" t="s">
        <v>954</v>
      </c>
      <c r="F53" s="15" cm="1">
        <f t="array" aca="1" ref="F53" ca="1">_FV(Table1[[#This Row],[Symbol ]],"P/E",TRUE)</f>
        <v>0</v>
      </c>
      <c r="G53" s="16" cm="1">
        <f t="array" aca="1" ref="G53" ca="1">_FV(Table1[[#This Row],[Symbol ]],"Volume average",TRUE)</f>
        <v>1836136</v>
      </c>
      <c r="H53" s="16" cm="1">
        <f t="array" aca="1" ref="H53" ca="1">_FV(Table1[[#This Row],[Symbol ]],"Volume")</f>
        <v>19939986</v>
      </c>
      <c r="I53" s="17" cm="1">
        <f t="array" aca="1" ref="I53" ca="1">_FV(Table1[[#This Row],[Symbol ]],"Market cap",TRUE)</f>
        <v>1344796000</v>
      </c>
      <c r="J53" s="20" cm="1">
        <f t="array" aca="1" ref="J53" ca="1">_FV(Table1[[#This Row],[Symbol ]],"Price")</f>
        <v>35.86</v>
      </c>
      <c r="K53" s="13" t="str" cm="1">
        <f t="array" aca="1" ref="K53" ca="1">_FV(Table1[[#This Row],[Symbol ]],"Instrument type",TRUE)</f>
        <v>Stock</v>
      </c>
    </row>
    <row r="54" spans="1:11" x14ac:dyDescent="0.4">
      <c r="A54" s="13" t="str" cm="1">
        <f t="array" aca="1" ref="A54" ca="1">_FV(B54,"Name")</f>
        <v>ASP ISOTOPES INC.</v>
      </c>
      <c r="B54" s="13" t="e" vm="56">
        <v>#VALUE!</v>
      </c>
      <c r="C54" s="14" cm="1">
        <f t="array" aca="1" ref="C54" ca="1">_FV(B54,"Change (%)",TRUE)</f>
        <v>0.101282</v>
      </c>
      <c r="D54" s="15" cm="1">
        <f t="array" aca="1" ref="D54" ca="1">_FV(B54,"Beta")</f>
        <v>2.137</v>
      </c>
      <c r="E54" s="13" t="s">
        <v>954</v>
      </c>
      <c r="F54" s="15" cm="1">
        <f t="array" aca="1" ref="F54" ca="1">_FV(Table1[[#This Row],[Symbol ]],"P/E",TRUE)</f>
        <v>0</v>
      </c>
      <c r="G54" s="16" cm="1">
        <f t="array" aca="1" ref="G54" ca="1">_FV(Table1[[#This Row],[Symbol ]],"Volume average",TRUE)</f>
        <v>2621363</v>
      </c>
      <c r="H54" s="16" cm="1">
        <f t="array" aca="1" ref="H54" ca="1">_FV(Table1[[#This Row],[Symbol ]],"Volume")</f>
        <v>12336758</v>
      </c>
      <c r="I54" s="17" cm="1">
        <f t="array" aca="1" ref="I54" ca="1">_FV(Table1[[#This Row],[Symbol ]],"Market cap",TRUE)</f>
        <v>644781300</v>
      </c>
      <c r="J54" s="20" cm="1">
        <f t="array" aca="1" ref="J54" ca="1">_FV(Table1[[#This Row],[Symbol ]],"Price")</f>
        <v>8.59</v>
      </c>
      <c r="K54" s="13" t="str" cm="1">
        <f t="array" aca="1" ref="K54" ca="1">_FV(Table1[[#This Row],[Symbol ]],"Instrument type",TRUE)</f>
        <v>Stock</v>
      </c>
    </row>
    <row r="55" spans="1:11" x14ac:dyDescent="0.4">
      <c r="A55" s="13" t="str" cm="1">
        <f t="array" aca="1" ref="A55" ca="1">_FV(B55,"Name")</f>
        <v>enCore Energy Corp.</v>
      </c>
      <c r="B55" s="13" t="e" vm="57">
        <v>#VALUE!</v>
      </c>
      <c r="C55" s="14" cm="1">
        <f t="array" aca="1" ref="C55" ca="1">_FV(B55,"Change (%)",TRUE)</f>
        <v>3.3333000000000002E-2</v>
      </c>
      <c r="D55" s="15" cm="1">
        <f t="array" aca="1" ref="D55" ca="1">_FV(B55,"Beta")</f>
        <v>1.3269</v>
      </c>
      <c r="E55" s="13" t="s">
        <v>954</v>
      </c>
      <c r="F55" s="15" t="e" cm="1" vm="4">
        <f t="array" ref="F55">_FV(Table1[[#This Row],[Symbol ]],"P/E",TRUE)</f>
        <v>#VALUE!</v>
      </c>
      <c r="G55" s="16" cm="1">
        <f t="array" aca="1" ref="G55" ca="1">_FV(Table1[[#This Row],[Symbol ]],"Volume average",TRUE)</f>
        <v>180310</v>
      </c>
      <c r="H55" s="16" cm="1">
        <f t="array" aca="1" ref="H55" ca="1">_FV(Table1[[#This Row],[Symbol ]],"Volume")</f>
        <v>28600</v>
      </c>
      <c r="I55" s="17" cm="1">
        <f t="array" aca="1" ref="I55" ca="1">_FV(Table1[[#This Row],[Symbol ]],"Market cap",TRUE)</f>
        <v>496489100</v>
      </c>
      <c r="J55" s="20" cm="1">
        <f t="array" aca="1" ref="J55" ca="1">_FV(Table1[[#This Row],[Symbol ]],"Price")</f>
        <v>2.79</v>
      </c>
      <c r="K55" s="13" t="str" cm="1">
        <f t="array" aca="1" ref="K55" ca="1">_FV(Table1[[#This Row],[Symbol ]],"Instrument type",TRUE)</f>
        <v>Stock</v>
      </c>
    </row>
  </sheetData>
  <conditionalFormatting sqref="C2:C1048576">
    <cfRule type="expression" dxfId="20" priority="6">
      <formula>AND(C2&gt;-0.02, C2&lt;0)</formula>
    </cfRule>
    <cfRule type="expression" dxfId="19" priority="7">
      <formula>AND(C2&gt;-0.05, C2&lt;=-0.02)</formula>
    </cfRule>
    <cfRule type="expression" dxfId="18" priority="8">
      <formula>C2&lt;=-5%</formula>
    </cfRule>
  </conditionalFormatting>
  <conditionalFormatting sqref="C2:C55">
    <cfRule type="expression" dxfId="17" priority="3">
      <formula>AND(C2&gt;0, C2&lt;0.02)</formula>
    </cfRule>
    <cfRule type="expression" dxfId="16" priority="4">
      <formula>AND(C2&gt;=0.02, C2&lt;0.05)</formula>
    </cfRule>
    <cfRule type="expression" dxfId="15" priority="5">
      <formula>C2&gt;=0.05</formula>
    </cfRule>
  </conditionalFormatting>
  <conditionalFormatting sqref="H2:H55">
    <cfRule type="expression" dxfId="14" priority="2">
      <formula>H2&gt;G2</formula>
    </cfRule>
  </conditionalFormatting>
  <conditionalFormatting sqref="A2:A55">
    <cfRule type="duplicateValues" dxfId="13" priority="88"/>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B6592-DB64-4C99-9A9D-D11B86BFC69C}">
  <sheetPr codeName="Sheet5">
    <tabColor theme="3" tint="0.39997558519241921"/>
  </sheetPr>
  <dimension ref="A1:CC426"/>
  <sheetViews>
    <sheetView tabSelected="1" zoomScale="25" zoomScaleNormal="25" workbookViewId="0">
      <selection activeCell="AC94" sqref="AC94"/>
    </sheetView>
  </sheetViews>
  <sheetFormatPr defaultRowHeight="14.4" x14ac:dyDescent="0.3"/>
  <cols>
    <col min="1" max="1" width="28.33203125" bestFit="1" customWidth="1"/>
    <col min="2" max="2" width="79.33203125" bestFit="1" customWidth="1"/>
    <col min="3" max="3" width="18.6640625" bestFit="1" customWidth="1"/>
    <col min="4" max="4" width="12.5546875" bestFit="1" customWidth="1"/>
    <col min="5" max="5" width="11.109375" bestFit="1" customWidth="1"/>
    <col min="6" max="6" width="12.44140625" bestFit="1" customWidth="1"/>
    <col min="7" max="7" width="22.33203125" bestFit="1" customWidth="1"/>
    <col min="8" max="8" width="8.88671875" style="8"/>
    <col min="9" max="81" width="8.88671875" style="10"/>
  </cols>
  <sheetData>
    <row r="1" spans="1:7" x14ac:dyDescent="0.3">
      <c r="A1" s="5" t="s">
        <v>10</v>
      </c>
      <c r="B1" s="5" t="s">
        <v>11</v>
      </c>
      <c r="C1" s="5" t="s">
        <v>4</v>
      </c>
      <c r="D1" s="5" t="s">
        <v>12</v>
      </c>
      <c r="E1" s="5" t="s">
        <v>13</v>
      </c>
      <c r="F1" s="5" t="s">
        <v>2</v>
      </c>
      <c r="G1" s="5" t="s">
        <v>14</v>
      </c>
    </row>
    <row r="2" spans="1:7" ht="18" x14ac:dyDescent="0.3">
      <c r="A2" t="s">
        <v>15</v>
      </c>
      <c r="B2" t="e" vm="58">
        <v>#VALUE!</v>
      </c>
      <c r="C2" s="7" t="s">
        <v>16</v>
      </c>
      <c r="D2" t="s">
        <v>17</v>
      </c>
      <c r="E2" s="2" cm="1">
        <f t="array" aca="1" ref="E2" ca="1">_FV(B2,"Price")</f>
        <v>232.79</v>
      </c>
      <c r="F2" s="1" cm="1">
        <f t="array" aca="1" ref="F2" ca="1">_FV(B2,"Change (%)",TRUE)</f>
        <v>1.0944000000000001E-2</v>
      </c>
      <c r="G2" s="3" cm="1">
        <f t="array" aca="1" ref="G2" ca="1">_FV(B2,"Market cap",TRUE)</f>
        <v>248244100000</v>
      </c>
    </row>
    <row r="3" spans="1:7" ht="18" x14ac:dyDescent="0.3">
      <c r="A3" t="s">
        <v>18</v>
      </c>
      <c r="B3" t="e" vm="8">
        <v>#VALUE!</v>
      </c>
      <c r="C3" s="7" t="s">
        <v>16</v>
      </c>
      <c r="D3" t="s">
        <v>19</v>
      </c>
      <c r="E3" s="2" cm="1">
        <f t="array" aca="1" ref="E3" ca="1">_FV(B3,"Price")</f>
        <v>132.35</v>
      </c>
      <c r="F3" s="1" cm="1">
        <f t="array" aca="1" ref="F3" ca="1">_FV(B3,"Change (%)",TRUE)</f>
        <v>-7.7969999999999992E-3</v>
      </c>
      <c r="G3" s="3" cm="1">
        <f t="array" aca="1" ref="G3" ca="1">_FV(B3,"Market cap",TRUE)</f>
        <v>176813500000</v>
      </c>
    </row>
    <row r="4" spans="1:7" ht="18" x14ac:dyDescent="0.3">
      <c r="A4" t="s">
        <v>20</v>
      </c>
      <c r="B4" t="e" vm="48">
        <v>#VALUE!</v>
      </c>
      <c r="C4" s="7" t="s">
        <v>16</v>
      </c>
      <c r="D4" t="s">
        <v>21</v>
      </c>
      <c r="E4" s="2" cm="1">
        <f t="array" aca="1" ref="E4" ca="1">_FV(B4,"Price")</f>
        <v>202.36</v>
      </c>
      <c r="F4" s="1" cm="1">
        <f t="array" aca="1" ref="F4" ca="1">_FV(B4,"Change (%)",TRUE)</f>
        <v>-5.1619999999999999E-3</v>
      </c>
      <c r="G4" s="3" cm="1">
        <f t="array" aca="1" ref="G4" ca="1">_FV(B4,"Market cap",TRUE)</f>
        <v>152580500000</v>
      </c>
    </row>
    <row r="5" spans="1:7" ht="18" x14ac:dyDescent="0.3">
      <c r="A5" t="s">
        <v>22</v>
      </c>
      <c r="B5" t="e" vm="49">
        <v>#VALUE!</v>
      </c>
      <c r="C5" s="7" t="s">
        <v>16</v>
      </c>
      <c r="D5" t="s">
        <v>23</v>
      </c>
      <c r="E5" s="2" cm="1">
        <f t="array" aca="1" ref="E5" ca="1">_FV(B5,"Price")</f>
        <v>468.88</v>
      </c>
      <c r="F5" s="1" cm="1">
        <f t="array" aca="1" ref="F5" ca="1">_FV(B5,"Change (%)",TRUE)</f>
        <v>-3.3370000000000001E-3</v>
      </c>
      <c r="G5" s="3" cm="1">
        <f t="array" aca="1" ref="G5" ca="1">_FV(B5,"Market cap",TRUE)</f>
        <v>109856700000</v>
      </c>
    </row>
    <row r="6" spans="1:7" ht="18" x14ac:dyDescent="0.3">
      <c r="A6" t="s">
        <v>24</v>
      </c>
      <c r="B6" t="e" vm="59">
        <v>#VALUE!</v>
      </c>
      <c r="C6" s="7" t="s">
        <v>16</v>
      </c>
      <c r="D6" t="s">
        <v>25</v>
      </c>
      <c r="E6" s="2" cm="1">
        <f t="array" aca="1" ref="E6" ca="1">_FV(B6,"Price")</f>
        <v>1431.5</v>
      </c>
      <c r="F6" s="1" cm="1">
        <f t="array" aca="1" ref="F6" ca="1">_FV(B6,"Change (%)",TRUE)</f>
        <v>1.8752000000000001E-2</v>
      </c>
      <c r="G6" s="3" cm="1">
        <f t="array" aca="1" ref="G6" ca="1">_FV(B6,"Market cap",TRUE)</f>
        <v>80403180000</v>
      </c>
    </row>
    <row r="7" spans="1:7" ht="18" x14ac:dyDescent="0.3">
      <c r="A7" t="s">
        <v>26</v>
      </c>
      <c r="B7" t="e" vm="60">
        <v>#VALUE!</v>
      </c>
      <c r="C7" s="7" t="s">
        <v>16</v>
      </c>
      <c r="D7" t="s">
        <v>27</v>
      </c>
      <c r="E7" s="2" cm="1">
        <f t="array" aca="1" ref="E7" ca="1">_FV(B7,"Price")</f>
        <v>274.75</v>
      </c>
      <c r="F7" s="1" cm="1">
        <f t="array" aca="1" ref="F7" ca="1">_FV(B7,"Change (%)",TRUE)</f>
        <v>-8.2299999999999995E-3</v>
      </c>
      <c r="G7" s="3" cm="1">
        <f t="array" aca="1" ref="G7" ca="1">_FV(B7,"Market cap",TRUE)</f>
        <v>73741840000</v>
      </c>
    </row>
    <row r="8" spans="1:7" ht="18" x14ac:dyDescent="0.3">
      <c r="A8" t="s">
        <v>28</v>
      </c>
      <c r="B8" t="e" vm="61">
        <v>#VALUE!</v>
      </c>
      <c r="C8" s="7" t="s">
        <v>16</v>
      </c>
      <c r="D8" t="s">
        <v>29</v>
      </c>
      <c r="E8" s="2" cm="1">
        <f t="array" aca="1" ref="E8" ca="1">_FV(B8,"Price")</f>
        <v>471.46</v>
      </c>
      <c r="F8" s="1" cm="1">
        <f t="array" aca="1" ref="F8" ca="1">_FV(B8,"Change (%)",TRUE)</f>
        <v>-3.003E-3</v>
      </c>
      <c r="G8" s="3" cm="1">
        <f t="array" aca="1" ref="G8" ca="1">_FV(B8,"Market cap",TRUE)</f>
        <v>67856380000</v>
      </c>
    </row>
    <row r="9" spans="1:7" ht="18" x14ac:dyDescent="0.3">
      <c r="A9" t="s">
        <v>30</v>
      </c>
      <c r="B9" t="e" vm="62">
        <v>#VALUE!</v>
      </c>
      <c r="C9" s="7" t="s">
        <v>16</v>
      </c>
      <c r="D9" t="s">
        <v>31</v>
      </c>
      <c r="E9" s="2" cm="1">
        <f t="array" aca="1" ref="E9" ca="1">_FV(B9,"Price")</f>
        <v>165.09</v>
      </c>
      <c r="F9" s="1" cm="1">
        <f t="array" aca="1" ref="F9" ca="1">_FV(B9,"Change (%)",TRUE)</f>
        <v>1.2760000000000001E-2</v>
      </c>
      <c r="G9" s="3" cm="1">
        <f t="array" aca="1" ref="G9" ca="1">_FV(B9,"Market cap",TRUE)</f>
        <v>66772920000</v>
      </c>
    </row>
    <row r="10" spans="1:7" ht="18" x14ac:dyDescent="0.3">
      <c r="A10" t="s">
        <v>32</v>
      </c>
      <c r="B10" t="e" vm="63">
        <v>#VALUE!</v>
      </c>
      <c r="C10" s="7" t="s">
        <v>16</v>
      </c>
      <c r="D10" t="s">
        <v>33</v>
      </c>
      <c r="E10" s="2" cm="1">
        <f t="array" aca="1" ref="E10" ca="1">_FV(B10,"Price")</f>
        <v>237.49</v>
      </c>
      <c r="F10" s="1" cm="1">
        <f t="array" aca="1" ref="F10" ca="1">_FV(B10,"Change (%)",TRUE)</f>
        <v>-7.1069999999999996E-3</v>
      </c>
      <c r="G10" s="3" cm="1">
        <f t="array" aca="1" ref="G10" ca="1">_FV(B10,"Market cap",TRUE)</f>
        <v>44397720000</v>
      </c>
    </row>
    <row r="11" spans="1:7" ht="18" x14ac:dyDescent="0.3">
      <c r="A11" t="s">
        <v>34</v>
      </c>
      <c r="B11" t="e" vm="64">
        <v>#VALUE!</v>
      </c>
      <c r="C11" s="7" t="s">
        <v>16</v>
      </c>
      <c r="D11" t="s">
        <v>35</v>
      </c>
      <c r="E11" s="2" cm="1">
        <f t="array" aca="1" ref="E11" ca="1">_FV(B11,"Price")</f>
        <v>731.37</v>
      </c>
      <c r="F11" s="1" cm="1">
        <f t="array" aca="1" ref="F11" ca="1">_FV(B11,"Change (%)",TRUE)</f>
        <v>1.0527999999999999E-2</v>
      </c>
      <c r="G11" s="3" cm="1">
        <f t="array" aca="1" ref="G11" ca="1">_FV(B11,"Market cap",TRUE)</f>
        <v>56937750000</v>
      </c>
    </row>
    <row r="12" spans="1:7" ht="18" x14ac:dyDescent="0.3">
      <c r="A12" t="s">
        <v>36</v>
      </c>
      <c r="B12" t="e" vm="65">
        <v>#VALUE!</v>
      </c>
      <c r="C12" s="7" t="s">
        <v>16</v>
      </c>
      <c r="D12" t="s">
        <v>37</v>
      </c>
      <c r="E12" s="2" cm="1">
        <f t="array" aca="1" ref="E12" ca="1">_FV(B12,"Price")</f>
        <v>72.92</v>
      </c>
      <c r="F12" s="1" cm="1">
        <f t="array" aca="1" ref="F12" ca="1">_FV(B12,"Change (%)",TRUE)</f>
        <v>-7.6210000000000002E-3</v>
      </c>
      <c r="G12" s="3" cm="1">
        <f t="array" aca="1" ref="G12" ca="1">_FV(B12,"Market cap",TRUE)</f>
        <v>13164890000</v>
      </c>
    </row>
    <row r="13" spans="1:7" ht="18" x14ac:dyDescent="0.3">
      <c r="A13" t="s">
        <v>38</v>
      </c>
      <c r="B13" t="e" vm="66">
        <v>#VALUE!</v>
      </c>
      <c r="C13" s="7" t="s">
        <v>16</v>
      </c>
      <c r="D13" t="s">
        <v>39</v>
      </c>
      <c r="E13" s="2" cm="1">
        <f t="array" aca="1" ref="E13" ca="1">_FV(B13,"Price")</f>
        <v>224.74</v>
      </c>
      <c r="F13" s="1" cm="1">
        <f t="array" aca="1" ref="F13" ca="1">_FV(B13,"Change (%)",TRUE)</f>
        <v>1.114E-3</v>
      </c>
      <c r="G13" s="3" cm="1">
        <f t="array" aca="1" ref="G13" ca="1">_FV(B13,"Market cap",TRUE)</f>
        <v>8818603000</v>
      </c>
    </row>
    <row r="14" spans="1:7" x14ac:dyDescent="0.3">
      <c r="A14" t="s">
        <v>40</v>
      </c>
      <c r="B14" t="e" vm="67">
        <v>#VALUE!</v>
      </c>
      <c r="C14" t="s">
        <v>41</v>
      </c>
      <c r="D14" t="s">
        <v>42</v>
      </c>
      <c r="E14" s="2" cm="1">
        <f t="array" aca="1" ref="E14" ca="1">_FV(B14,"Price")</f>
        <v>339.34</v>
      </c>
      <c r="F14" s="1" cm="1">
        <f t="array" aca="1" ref="F14" ca="1">_FV(B14,"Change (%)",TRUE)</f>
        <v>-4.9849999999999998E-3</v>
      </c>
      <c r="G14" s="3" cm="1">
        <f t="array" aca="1" ref="G14" ca="1">_FV(B14,"Market cap",TRUE)</f>
        <v>1092999000000</v>
      </c>
    </row>
    <row r="15" spans="1:7" x14ac:dyDescent="0.3">
      <c r="A15" t="s">
        <v>43</v>
      </c>
      <c r="B15" t="e" vm="68">
        <v>#VALUE!</v>
      </c>
      <c r="C15" t="s">
        <v>41</v>
      </c>
      <c r="D15" t="s">
        <v>44</v>
      </c>
      <c r="E15" s="2" cm="1">
        <f t="array" aca="1" ref="E15" ca="1">_FV(B15,"Price")</f>
        <v>48.69</v>
      </c>
      <c r="F15" s="1" cm="1">
        <f t="array" aca="1" ref="F15" ca="1">_FV(B15,"Change (%)",TRUE)</f>
        <v>-1.1972E-2</v>
      </c>
      <c r="G15" s="3" cm="1">
        <f t="array" aca="1" ref="G15" ca="1">_FV(B15,"Market cap",TRUE)</f>
        <v>47048200000</v>
      </c>
    </row>
    <row r="16" spans="1:7" x14ac:dyDescent="0.3">
      <c r="A16" t="s">
        <v>45</v>
      </c>
      <c r="B16" t="e" vm="69">
        <v>#VALUE!</v>
      </c>
      <c r="C16" t="s">
        <v>41</v>
      </c>
      <c r="D16" t="s">
        <v>46</v>
      </c>
      <c r="E16" s="2" cm="1">
        <f t="array" aca="1" ref="E16" ca="1">_FV(B16,"Price")</f>
        <v>317.23</v>
      </c>
      <c r="F16" s="1" cm="1">
        <f t="array" aca="1" ref="F16" ca="1">_FV(B16,"Change (%)",TRUE)</f>
        <v>-8.5629999999999994E-3</v>
      </c>
      <c r="G16" s="3" cm="1">
        <f t="array" aca="1" ref="G16" ca="1">_FV(B16,"Market cap",TRUE)</f>
        <v>43682570000</v>
      </c>
    </row>
    <row r="17" spans="1:7" x14ac:dyDescent="0.3">
      <c r="A17" t="s">
        <v>47</v>
      </c>
      <c r="B17" t="e" vm="70">
        <v>#VALUE!</v>
      </c>
      <c r="C17" t="s">
        <v>41</v>
      </c>
      <c r="D17" t="s">
        <v>48</v>
      </c>
      <c r="E17" s="2" cm="1">
        <f t="array" aca="1" ref="E17" ca="1">_FV(B17,"Price")</f>
        <v>10.36</v>
      </c>
      <c r="F17" s="1" cm="1">
        <f t="array" aca="1" ref="F17" ca="1">_FV(B17,"Change (%)",TRUE)</f>
        <v>-7.6629999999999997E-3</v>
      </c>
      <c r="G17" s="3" cm="1">
        <f t="array" aca="1" ref="G17" ca="1">_FV(B17,"Market cap",TRUE)</f>
        <v>41197050000</v>
      </c>
    </row>
    <row r="18" spans="1:7" x14ac:dyDescent="0.3">
      <c r="A18" t="s">
        <v>49</v>
      </c>
      <c r="B18" t="e" vm="71">
        <v>#VALUE!</v>
      </c>
      <c r="C18" t="s">
        <v>41</v>
      </c>
      <c r="D18" t="s">
        <v>50</v>
      </c>
      <c r="E18" s="2" cm="1">
        <f t="array" aca="1" ref="E18" ca="1">_FV(B18,"Price")</f>
        <v>126.21</v>
      </c>
      <c r="F18" s="1" cm="1">
        <f t="array" aca="1" ref="F18" ca="1">_FV(B18,"Change (%)",TRUE)</f>
        <v>-5.359E-3</v>
      </c>
      <c r="G18" s="3" cm="1">
        <f t="array" aca="1" ref="G18" ca="1">_FV(B18,"Market cap",TRUE)</f>
        <v>17516640000</v>
      </c>
    </row>
    <row r="19" spans="1:7" x14ac:dyDescent="0.3">
      <c r="A19" t="s">
        <v>51</v>
      </c>
      <c r="B19" t="e" vm="72">
        <v>#VALUE!</v>
      </c>
      <c r="C19" t="s">
        <v>41</v>
      </c>
      <c r="D19" t="s">
        <v>52</v>
      </c>
      <c r="E19" s="2" cm="1">
        <f t="array" aca="1" ref="E19" ca="1">_FV(B19,"Price")</f>
        <v>66.06</v>
      </c>
      <c r="F19" s="1" cm="1">
        <f t="array" aca="1" ref="F19" ca="1">_FV(B19,"Change (%)",TRUE)</f>
        <v>-1.3587999999999999E-2</v>
      </c>
      <c r="G19" s="3" cm="1">
        <f t="array" aca="1" ref="G19" ca="1">_FV(B19,"Market cap",TRUE)</f>
        <v>14383280000</v>
      </c>
    </row>
    <row r="20" spans="1:7" x14ac:dyDescent="0.3">
      <c r="A20" t="s">
        <v>53</v>
      </c>
      <c r="B20" t="e" vm="73">
        <v>#VALUE!</v>
      </c>
      <c r="C20" t="s">
        <v>41</v>
      </c>
      <c r="D20" t="s">
        <v>54</v>
      </c>
      <c r="E20" s="2" cm="1">
        <f t="array" aca="1" ref="E20" ca="1">_FV(B20,"Price")</f>
        <v>40.19</v>
      </c>
      <c r="F20" s="1" cm="1">
        <f t="array" aca="1" ref="F20" ca="1">_FV(B20,"Change (%)",TRUE)</f>
        <v>-7.8989999999999998E-3</v>
      </c>
      <c r="G20" s="3" cm="1">
        <f t="array" aca="1" ref="G20" ca="1">_FV(B20,"Market cap",TRUE)</f>
        <v>10374960000</v>
      </c>
    </row>
    <row r="21" spans="1:7" x14ac:dyDescent="0.3">
      <c r="A21" t="s">
        <v>55</v>
      </c>
      <c r="B21" t="e" vm="74">
        <v>#VALUE!</v>
      </c>
      <c r="C21" t="s">
        <v>41</v>
      </c>
      <c r="D21" t="s">
        <v>56</v>
      </c>
      <c r="E21" s="2" cm="1">
        <f t="array" aca="1" ref="E21" ca="1">_FV(B21,"Price")</f>
        <v>32.68</v>
      </c>
      <c r="F21" s="1" cm="1">
        <f t="array" aca="1" ref="F21" ca="1">_FV(B21,"Change (%)",TRUE)</f>
        <v>-8.4950000000000008E-3</v>
      </c>
      <c r="G21" s="3" cm="1">
        <f t="array" aca="1" ref="G21" ca="1">_FV(B21,"Market cap",TRUE)</f>
        <v>7180451000</v>
      </c>
    </row>
    <row r="22" spans="1:7" ht="18" x14ac:dyDescent="0.3">
      <c r="A22" t="s">
        <v>57</v>
      </c>
      <c r="B22" t="e" vm="75">
        <v>#VALUE!</v>
      </c>
      <c r="C22" s="7" t="s">
        <v>58</v>
      </c>
      <c r="D22" t="s">
        <v>59</v>
      </c>
      <c r="E22" s="2" cm="1">
        <f t="array" aca="1" ref="E22" ca="1">_FV(B22,"Price")</f>
        <v>260.70999999999998</v>
      </c>
      <c r="F22" s="1" cm="1">
        <f t="array" aca="1" ref="F22" ca="1">_FV(B22,"Change (%)",TRUE)</f>
        <v>1.5350000000000002E-4</v>
      </c>
      <c r="G22" s="3" cm="1">
        <f t="array" aca="1" ref="G22" ca="1">_FV(B22,"Market cap",TRUE)</f>
        <v>724537800000</v>
      </c>
    </row>
    <row r="23" spans="1:7" ht="18" x14ac:dyDescent="0.3">
      <c r="A23" t="s">
        <v>60</v>
      </c>
      <c r="B23" t="e" vm="76">
        <v>#VALUE!</v>
      </c>
      <c r="C23" s="7" t="s">
        <v>58</v>
      </c>
      <c r="D23" t="s">
        <v>61</v>
      </c>
      <c r="E23" s="2" cm="1">
        <f t="array" aca="1" ref="E23" ca="1">_FV(B23,"Price")</f>
        <v>43.2</v>
      </c>
      <c r="F23" s="1" cm="1">
        <f t="array" aca="1" ref="F23" ca="1">_FV(B23,"Change (%)",TRUE)</f>
        <v>-2.5400000000000002E-3</v>
      </c>
      <c r="G23" s="3" cm="1">
        <f t="array" aca="1" ref="G23" ca="1">_FV(B23,"Market cap",TRUE)</f>
        <v>325377100000</v>
      </c>
    </row>
    <row r="24" spans="1:7" ht="18" x14ac:dyDescent="0.3">
      <c r="A24" t="s">
        <v>62</v>
      </c>
      <c r="B24" t="e" vm="77">
        <v>#VALUE!</v>
      </c>
      <c r="C24" s="7" t="s">
        <v>58</v>
      </c>
      <c r="D24" t="s">
        <v>63</v>
      </c>
      <c r="E24" s="2" cm="1">
        <f t="array" aca="1" ref="E24" ca="1">_FV(B24,"Price")</f>
        <v>72.83</v>
      </c>
      <c r="F24" s="1" cm="1">
        <f t="array" aca="1" ref="F24" ca="1">_FV(B24,"Change (%)",TRUE)</f>
        <v>-7.6300000000000005E-3</v>
      </c>
      <c r="G24" s="3" cm="1">
        <f t="array" aca="1" ref="G24" ca="1">_FV(B24,"Market cap",TRUE)</f>
        <v>237002100000</v>
      </c>
    </row>
    <row r="25" spans="1:7" ht="18" x14ac:dyDescent="0.3">
      <c r="A25" t="s">
        <v>64</v>
      </c>
      <c r="B25" t="e" vm="78">
        <v>#VALUE!</v>
      </c>
      <c r="C25" s="7" t="s">
        <v>58</v>
      </c>
      <c r="D25" t="s">
        <v>65</v>
      </c>
      <c r="E25" s="2" cm="1">
        <f t="array" aca="1" ref="E25" ca="1">_FV(B25,"Price")</f>
        <v>285.22000000000003</v>
      </c>
      <c r="F25" s="1" cm="1">
        <f t="array" aca="1" ref="F25" ca="1">_FV(B25,"Change (%)",TRUE)</f>
        <v>-6.8250000000000003E-3</v>
      </c>
      <c r="G25" s="3" cm="1">
        <f t="array" aca="1" ref="G25" ca="1">_FV(B25,"Market cap",TRUE)</f>
        <v>199822000000</v>
      </c>
    </row>
    <row r="26" spans="1:7" ht="18" x14ac:dyDescent="0.3">
      <c r="A26" t="s">
        <v>66</v>
      </c>
      <c r="B26" t="e" vm="79">
        <v>#VALUE!</v>
      </c>
      <c r="C26" s="7" t="s">
        <v>58</v>
      </c>
      <c r="D26" t="s">
        <v>67</v>
      </c>
      <c r="E26" s="2" cm="1">
        <f t="array" aca="1" ref="E26" ca="1">_FV(B26,"Price")</f>
        <v>171.82</v>
      </c>
      <c r="F26" s="1" cm="1">
        <f t="array" aca="1" ref="F26" ca="1">_FV(B26,"Change (%)",TRUE)</f>
        <v>-6.7629999999999999E-3</v>
      </c>
      <c r="G26" s="3" cm="1">
        <f t="array" aca="1" ref="G26" ca="1">_FV(B26,"Market cap",TRUE)</f>
        <v>67966320000</v>
      </c>
    </row>
    <row r="27" spans="1:7" ht="18" x14ac:dyDescent="0.3">
      <c r="A27" t="s">
        <v>68</v>
      </c>
      <c r="B27" t="e" vm="80">
        <v>#VALUE!</v>
      </c>
      <c r="C27" s="7" t="s">
        <v>58</v>
      </c>
      <c r="D27" t="s">
        <v>69</v>
      </c>
      <c r="E27" s="2" cm="1">
        <f t="array" aca="1" ref="E27" ca="1">_FV(B27,"Price")</f>
        <v>42.94</v>
      </c>
      <c r="F27" s="1" cm="1">
        <f t="array" aca="1" ref="F27" ca="1">_FV(B27,"Change (%)",TRUE)</f>
        <v>-4.1739999999999998E-3</v>
      </c>
      <c r="G27" s="3" cm="1">
        <f t="array" aca="1" ref="G27" ca="1">_FV(B27,"Market cap",TRUE)</f>
        <v>66901700000</v>
      </c>
    </row>
    <row r="28" spans="1:7" ht="18" x14ac:dyDescent="0.3">
      <c r="A28" t="s">
        <v>70</v>
      </c>
      <c r="B28" t="e" vm="81">
        <v>#VALUE!</v>
      </c>
      <c r="C28" s="7" t="s">
        <v>58</v>
      </c>
      <c r="D28" t="s">
        <v>71</v>
      </c>
      <c r="E28" s="2" cm="1">
        <f t="array" aca="1" ref="E28" ca="1">_FV(B28,"Price")</f>
        <v>185.08</v>
      </c>
      <c r="F28" s="1" cm="1">
        <f t="array" aca="1" ref="F28" ca="1">_FV(B28,"Change (%)",TRUE)</f>
        <v>-1.5322000000000001E-2</v>
      </c>
      <c r="G28" s="3" cm="1">
        <f t="array" aca="1" ref="G28" ca="1">_FV(B28,"Market cap",TRUE)</f>
        <v>118476700000</v>
      </c>
    </row>
    <row r="29" spans="1:7" ht="18" x14ac:dyDescent="0.3">
      <c r="A29" t="s">
        <v>72</v>
      </c>
      <c r="B29" t="e" vm="82">
        <v>#VALUE!</v>
      </c>
      <c r="C29" s="7" t="s">
        <v>58</v>
      </c>
      <c r="D29" t="s">
        <v>73</v>
      </c>
      <c r="E29" s="2" cm="1">
        <f t="array" aca="1" ref="E29" ca="1">_FV(B29,"Price")</f>
        <v>39.28</v>
      </c>
      <c r="F29" s="1" cm="1">
        <f t="array" aca="1" ref="F29" ca="1">_FV(B29,"Change (%)",TRUE)</f>
        <v>-5.3180000000000007E-3</v>
      </c>
      <c r="G29" s="3" cm="1">
        <f t="array" aca="1" ref="G29" ca="1">_FV(B29,"Market cap",TRUE)</f>
        <v>51438690000</v>
      </c>
    </row>
    <row r="30" spans="1:7" ht="18" x14ac:dyDescent="0.3">
      <c r="A30" t="s">
        <v>74</v>
      </c>
      <c r="B30" t="e" vm="83">
        <v>#VALUE!</v>
      </c>
      <c r="C30" s="7" t="s">
        <v>58</v>
      </c>
      <c r="D30" t="s">
        <v>75</v>
      </c>
      <c r="E30" s="2" cm="1">
        <f t="array" aca="1" ref="E30" ca="1">_FV(B30,"Price")</f>
        <v>200.05</v>
      </c>
      <c r="F30" s="1" cm="1">
        <f t="array" aca="1" ref="F30" ca="1">_FV(B30,"Change (%)",TRUE)</f>
        <v>0</v>
      </c>
      <c r="G30" s="3" cm="1">
        <f t="array" aca="1" ref="G30" ca="1">_FV(B30,"Market cap",TRUE)</f>
        <v>50343260000</v>
      </c>
    </row>
    <row r="31" spans="1:7" ht="18" x14ac:dyDescent="0.3">
      <c r="A31" t="s">
        <v>76</v>
      </c>
      <c r="B31" t="e" vm="84">
        <v>#VALUE!</v>
      </c>
      <c r="C31" s="7" t="s">
        <v>58</v>
      </c>
      <c r="D31" t="s">
        <v>77</v>
      </c>
      <c r="E31" s="2" cm="1">
        <f t="array" aca="1" ref="E31" ca="1">_FV(B31,"Price")</f>
        <v>179.44</v>
      </c>
      <c r="F31" s="1" cm="1">
        <f t="array" aca="1" ref="F31" ca="1">_FV(B31,"Change (%)",TRUE)</f>
        <v>-6.4780000000000003E-3</v>
      </c>
      <c r="G31" s="3" cm="1">
        <f t="array" aca="1" ref="G31" ca="1">_FV(B31,"Market cap",TRUE)</f>
        <v>28803000000</v>
      </c>
    </row>
    <row r="32" spans="1:7" ht="18" x14ac:dyDescent="0.3">
      <c r="A32" t="s">
        <v>78</v>
      </c>
      <c r="B32" t="e" vm="85">
        <v>#VALUE!</v>
      </c>
      <c r="C32" s="7" t="s">
        <v>58</v>
      </c>
      <c r="D32" t="s">
        <v>79</v>
      </c>
      <c r="E32" s="2" cm="1">
        <f t="array" aca="1" ref="E32" ca="1">_FV(B32,"Price")</f>
        <v>37.200000000000003</v>
      </c>
      <c r="F32" s="1" cm="1">
        <f t="array" aca="1" ref="F32" ca="1">_FV(B32,"Change (%)",TRUE)</f>
        <v>-8.2640000000000005E-3</v>
      </c>
      <c r="G32" s="3" cm="1">
        <f t="array" aca="1" ref="G32" ca="1">_FV(B32,"Market cap",TRUE)</f>
        <v>24830710000</v>
      </c>
    </row>
    <row r="33" spans="1:7" ht="18" x14ac:dyDescent="0.3">
      <c r="A33" t="s">
        <v>80</v>
      </c>
      <c r="B33" t="e" vm="86">
        <v>#VALUE!</v>
      </c>
      <c r="C33" s="7" t="s">
        <v>58</v>
      </c>
      <c r="D33" t="s">
        <v>81</v>
      </c>
      <c r="E33" s="2" cm="1">
        <f t="array" aca="1" ref="E33" ca="1">_FV(B33,"Price")</f>
        <v>15.32</v>
      </c>
      <c r="F33" s="1" cm="1">
        <f t="array" aca="1" ref="F33" ca="1">_FV(B33,"Change (%)",TRUE)</f>
        <v>-7.1289999999999999E-3</v>
      </c>
      <c r="G33" s="3" cm="1">
        <f t="array" aca="1" ref="G33" ca="1">_FV(B33,"Market cap",TRUE)</f>
        <v>22321240000</v>
      </c>
    </row>
    <row r="34" spans="1:7" ht="18" x14ac:dyDescent="0.3">
      <c r="A34" t="s">
        <v>82</v>
      </c>
      <c r="B34" t="e" vm="87">
        <v>#VALUE!</v>
      </c>
      <c r="C34" s="7" t="s">
        <v>58</v>
      </c>
      <c r="D34" t="s">
        <v>83</v>
      </c>
      <c r="E34" s="2" cm="1">
        <f t="array" aca="1" ref="E34" ca="1">_FV(B34,"Price")</f>
        <v>56.74</v>
      </c>
      <c r="F34" s="1" cm="1">
        <f t="array" aca="1" ref="F34" ca="1">_FV(B34,"Change (%)",TRUE)</f>
        <v>-1.2529999999999999E-2</v>
      </c>
      <c r="G34" s="3" cm="1">
        <f t="array" aca="1" ref="G34" ca="1">_FV(B34,"Market cap",TRUE)</f>
        <v>21598480000</v>
      </c>
    </row>
    <row r="35" spans="1:7" ht="18" x14ac:dyDescent="0.3">
      <c r="A35" t="s">
        <v>84</v>
      </c>
      <c r="B35" t="e" vm="88">
        <v>#VALUE!</v>
      </c>
      <c r="C35" s="7" t="s">
        <v>58</v>
      </c>
      <c r="D35" t="s">
        <v>85</v>
      </c>
      <c r="E35" s="2" cm="1">
        <f t="array" aca="1" ref="E35" ca="1">_FV(B35,"Price")</f>
        <v>21.24</v>
      </c>
      <c r="F35" s="1" cm="1">
        <f t="array" aca="1" ref="F35" ca="1">_FV(B35,"Change (%)",TRUE)</f>
        <v>-6.0829999999999999E-3</v>
      </c>
      <c r="G35" s="3" cm="1">
        <f t="array" aca="1" ref="G35" ca="1">_FV(B35,"Market cap",TRUE)</f>
        <v>19093280000</v>
      </c>
    </row>
    <row r="36" spans="1:7" ht="18" x14ac:dyDescent="0.3">
      <c r="A36" t="s">
        <v>86</v>
      </c>
      <c r="B36" t="e" vm="89">
        <v>#VALUE!</v>
      </c>
      <c r="C36" s="7" t="s">
        <v>58</v>
      </c>
      <c r="D36" t="s">
        <v>87</v>
      </c>
      <c r="E36" s="2" cm="1">
        <f t="array" aca="1" ref="E36" ca="1">_FV(B36,"Price")</f>
        <v>39.57</v>
      </c>
      <c r="F36" s="1" cm="1">
        <f t="array" aca="1" ref="F36" ca="1">_FV(B36,"Change (%)",TRUE)</f>
        <v>-5.0290000000000005E-3</v>
      </c>
      <c r="G36" s="3" cm="1">
        <f t="array" aca="1" ref="G36" ca="1">_FV(B36,"Market cap",TRUE)</f>
        <v>17318530000</v>
      </c>
    </row>
    <row r="37" spans="1:7" ht="18" x14ac:dyDescent="0.3">
      <c r="A37" t="s">
        <v>88</v>
      </c>
      <c r="B37" t="e" vm="90">
        <v>#VALUE!</v>
      </c>
      <c r="C37" s="7" t="s">
        <v>58</v>
      </c>
      <c r="D37" t="s">
        <v>89</v>
      </c>
      <c r="E37" s="2" cm="1">
        <f t="array" aca="1" ref="E37" ca="1">_FV(B37,"Price")</f>
        <v>15.65</v>
      </c>
      <c r="F37" s="1" cm="1">
        <f t="array" aca="1" ref="F37" ca="1">_FV(B37,"Change (%)",TRUE)</f>
        <v>-2.5490000000000001E-3</v>
      </c>
      <c r="G37" s="3" cm="1">
        <f t="array" aca="1" ref="G37" ca="1">_FV(B37,"Market cap",TRUE)</f>
        <v>17151500000</v>
      </c>
    </row>
    <row r="38" spans="1:7" ht="18" x14ac:dyDescent="0.3">
      <c r="A38" t="s">
        <v>90</v>
      </c>
      <c r="B38" t="e" vm="91">
        <v>#VALUE!</v>
      </c>
      <c r="C38" s="7" t="s">
        <v>58</v>
      </c>
      <c r="D38" t="s">
        <v>91</v>
      </c>
      <c r="E38" s="2" cm="1">
        <f t="array" aca="1" ref="E38" ca="1">_FV(B38,"Price")</f>
        <v>598.54</v>
      </c>
      <c r="F38" s="1" cm="1">
        <f t="array" aca="1" ref="F38" ca="1">_FV(B38,"Change (%)",TRUE)</f>
        <v>5.1820000000000002E-4</v>
      </c>
      <c r="G38" s="3" cm="1">
        <f t="array" aca="1" ref="G38" ca="1">_FV(B38,"Market cap",TRUE)</f>
        <v>183656700000</v>
      </c>
    </row>
    <row r="39" spans="1:7" ht="18" x14ac:dyDescent="0.3">
      <c r="A39" t="s">
        <v>92</v>
      </c>
      <c r="B39" t="e" vm="92">
        <v>#VALUE!</v>
      </c>
      <c r="C39" s="7" t="s">
        <v>58</v>
      </c>
      <c r="D39" t="s">
        <v>93</v>
      </c>
      <c r="E39" s="2" cm="1">
        <f t="array" aca="1" ref="E39" ca="1">_FV(B39,"Price")</f>
        <v>277.3</v>
      </c>
      <c r="F39" s="1" cm="1">
        <f t="array" aca="1" ref="F39" ca="1">_FV(B39,"Change (%)",TRUE)</f>
        <v>6.494999999999999E-4</v>
      </c>
      <c r="G39" s="3" cm="1">
        <f t="array" aca="1" ref="G39" ca="1">_FV(B39,"Market cap",TRUE)</f>
        <v>162559800000</v>
      </c>
    </row>
    <row r="40" spans="1:7" ht="18" x14ac:dyDescent="0.3">
      <c r="A40" t="s">
        <v>94</v>
      </c>
      <c r="B40" t="e" vm="93">
        <v>#VALUE!</v>
      </c>
      <c r="C40" s="7" t="s">
        <v>58</v>
      </c>
      <c r="D40" t="s">
        <v>95</v>
      </c>
      <c r="E40" s="2" cm="1">
        <f t="array" aca="1" ref="E40" ca="1">_FV(B40,"Price")</f>
        <v>126.07</v>
      </c>
      <c r="F40" s="1" cm="1">
        <f t="array" aca="1" ref="F40" ca="1">_FV(B40,"Change (%)",TRUE)</f>
        <v>-1.505E-3</v>
      </c>
      <c r="G40" s="3" cm="1">
        <f t="array" aca="1" ref="G40" ca="1">_FV(B40,"Market cap",TRUE)</f>
        <v>202256500000</v>
      </c>
    </row>
    <row r="41" spans="1:7" ht="18" x14ac:dyDescent="0.3">
      <c r="A41" t="s">
        <v>96</v>
      </c>
      <c r="B41" t="e" vm="94">
        <v>#VALUE!</v>
      </c>
      <c r="C41" s="7" t="s">
        <v>58</v>
      </c>
      <c r="D41" t="s">
        <v>97</v>
      </c>
      <c r="E41" s="2" cm="1">
        <f t="array" aca="1" ref="E41" ca="1">_FV(B41,"Price")</f>
        <v>963.18</v>
      </c>
      <c r="F41" s="1" cm="1">
        <f t="array" aca="1" ref="F41" ca="1">_FV(B41,"Change (%)",TRUE)</f>
        <v>-6.9289999999999994E-3</v>
      </c>
      <c r="G41" s="3" cm="1">
        <f t="array" aca="1" ref="G41" ca="1">_FV(B41,"Market cap",TRUE)</f>
        <v>149221800000</v>
      </c>
    </row>
    <row r="42" spans="1:7" ht="18" x14ac:dyDescent="0.3">
      <c r="A42" t="s">
        <v>98</v>
      </c>
      <c r="B42" t="e" vm="95">
        <v>#VALUE!</v>
      </c>
      <c r="C42" s="7" t="s">
        <v>58</v>
      </c>
      <c r="D42" t="s">
        <v>99</v>
      </c>
      <c r="E42" s="2" cm="1">
        <f t="array" aca="1" ref="E42" ca="1">_FV(B42,"Price")</f>
        <v>73.09</v>
      </c>
      <c r="F42" s="1" cm="1">
        <f t="array" aca="1" ref="F42" ca="1">_FV(B42,"Change (%)",TRUE)</f>
        <v>-4.4949999999999999E-3</v>
      </c>
      <c r="G42" s="3" cm="1">
        <f t="array" aca="1" ref="G42" ca="1">_FV(B42,"Market cap",TRUE)</f>
        <v>136512700000</v>
      </c>
    </row>
    <row r="43" spans="1:7" ht="18" x14ac:dyDescent="0.3">
      <c r="A43" t="s">
        <v>100</v>
      </c>
      <c r="B43" t="e" vm="96">
        <v>#VALUE!</v>
      </c>
      <c r="C43" s="7" t="s">
        <v>58</v>
      </c>
      <c r="D43" t="s">
        <v>101</v>
      </c>
      <c r="E43" s="2" cm="1">
        <f t="array" aca="1" ref="E43" ca="1">_FV(B43,"Price")</f>
        <v>87.4</v>
      </c>
      <c r="F43" s="1" cm="1">
        <f t="array" aca="1" ref="F43" ca="1">_FV(B43,"Change (%)",TRUE)</f>
        <v>1.031E-3</v>
      </c>
      <c r="G43" s="3" cm="1">
        <f t="array" aca="1" ref="G43" ca="1">_FV(B43,"Market cap",TRUE)</f>
        <v>158803200000</v>
      </c>
    </row>
    <row r="44" spans="1:7" ht="18" x14ac:dyDescent="0.3">
      <c r="A44" t="s">
        <v>102</v>
      </c>
      <c r="B44" t="e" vm="97">
        <v>#VALUE!</v>
      </c>
      <c r="C44" s="7" t="s">
        <v>58</v>
      </c>
      <c r="D44" t="s">
        <v>103</v>
      </c>
      <c r="E44" s="2" cm="1">
        <f t="array" aca="1" ref="E44" ca="1">_FV(B44,"Price")</f>
        <v>229.33</v>
      </c>
      <c r="F44" s="1" cm="1">
        <f t="array" aca="1" ref="F44" ca="1">_FV(B44,"Change (%)",TRUE)</f>
        <v>3.764E-3</v>
      </c>
      <c r="G44" s="3" cm="1">
        <f t="array" aca="1" ref="G44" ca="1">_FV(B44,"Market cap",TRUE)</f>
        <v>112997300000</v>
      </c>
    </row>
    <row r="45" spans="1:7" ht="18" x14ac:dyDescent="0.3">
      <c r="A45" t="s">
        <v>104</v>
      </c>
      <c r="B45" t="e" vm="98">
        <v>#VALUE!</v>
      </c>
      <c r="C45" s="7" t="s">
        <v>58</v>
      </c>
      <c r="D45" t="s">
        <v>105</v>
      </c>
      <c r="E45" s="2" cm="1">
        <f t="array" aca="1" ref="E45" ca="1">_FV(B45,"Price")</f>
        <v>286.10000000000002</v>
      </c>
      <c r="F45" s="1" cm="1">
        <f t="array" aca="1" ref="F45" ca="1">_FV(B45,"Change (%)",TRUE)</f>
        <v>-3.4480000000000001E-3</v>
      </c>
      <c r="G45" s="3" cm="1">
        <f t="array" aca="1" ref="G45" ca="1">_FV(B45,"Market cap",TRUE)</f>
        <v>114647600000</v>
      </c>
    </row>
    <row r="46" spans="1:7" ht="18" x14ac:dyDescent="0.3">
      <c r="A46" t="s">
        <v>106</v>
      </c>
      <c r="B46" t="e" vm="99">
        <v>#VALUE!</v>
      </c>
      <c r="C46" s="7" t="s">
        <v>58</v>
      </c>
      <c r="D46" t="s">
        <v>107</v>
      </c>
      <c r="E46" s="2" cm="1">
        <f t="array" aca="1" ref="E46" ca="1">_FV(B46,"Price")</f>
        <v>136.12</v>
      </c>
      <c r="F46" s="1" cm="1">
        <f t="array" aca="1" ref="F46" ca="1">_FV(B46,"Change (%)",TRUE)</f>
        <v>-5.9150000000000001E-3</v>
      </c>
      <c r="G46" s="3" cm="1">
        <f t="array" aca="1" ref="G46" ca="1">_FV(B46,"Market cap",TRUE)</f>
        <v>165144300000</v>
      </c>
    </row>
    <row r="47" spans="1:7" ht="18" x14ac:dyDescent="0.3">
      <c r="A47" t="s">
        <v>108</v>
      </c>
      <c r="B47" t="e" vm="100">
        <v>#VALUE!</v>
      </c>
      <c r="C47" s="7" t="s">
        <v>58</v>
      </c>
      <c r="D47" t="s">
        <v>109</v>
      </c>
      <c r="E47" s="2" cm="1">
        <f t="array" aca="1" ref="E47" ca="1">_FV(B47,"Price")</f>
        <v>176.12</v>
      </c>
      <c r="F47" s="1" cm="1">
        <f t="array" aca="1" ref="F47" ca="1">_FV(B47,"Change (%)",TRUE)</f>
        <v>1.2183999999999999E-2</v>
      </c>
      <c r="G47" s="3" cm="1">
        <f t="array" aca="1" ref="G47" ca="1">_FV(B47,"Market cap",TRUE)</f>
        <v>101027100000</v>
      </c>
    </row>
    <row r="48" spans="1:7" ht="18" x14ac:dyDescent="0.3">
      <c r="A48" t="s">
        <v>110</v>
      </c>
      <c r="B48" t="e" vm="101">
        <v>#VALUE!</v>
      </c>
      <c r="C48" s="7" t="s">
        <v>58</v>
      </c>
      <c r="D48" t="s">
        <v>111</v>
      </c>
      <c r="E48" s="2" cm="1">
        <f t="array" aca="1" ref="E48" ca="1">_FV(B48,"Price")</f>
        <v>284.07</v>
      </c>
      <c r="F48" s="1" cm="1">
        <f t="array" aca="1" ref="F48" ca="1">_FV(B48,"Change (%)",TRUE)</f>
        <v>7.3400000000000002E-3</v>
      </c>
      <c r="G48" s="3" cm="1">
        <f t="array" aca="1" ref="G48" ca="1">_FV(B48,"Market cap",TRUE)</f>
        <v>102366400000</v>
      </c>
    </row>
    <row r="49" spans="1:7" ht="18" x14ac:dyDescent="0.3">
      <c r="A49" t="s">
        <v>112</v>
      </c>
      <c r="B49" t="e" vm="102">
        <v>#VALUE!</v>
      </c>
      <c r="C49" s="7" t="s">
        <v>58</v>
      </c>
      <c r="D49" t="s">
        <v>113</v>
      </c>
      <c r="E49" s="2" cm="1">
        <f t="array" aca="1" ref="E49" ca="1">_FV(B49,"Price")</f>
        <v>356.54</v>
      </c>
      <c r="F49" s="1" cm="1">
        <f t="array" aca="1" ref="F49" ca="1">_FV(B49,"Change (%)",TRUE)</f>
        <v>3.405E-3</v>
      </c>
      <c r="G49" s="3" cm="1">
        <f t="array" aca="1" ref="G49" ca="1">_FV(B49,"Market cap",TRUE)</f>
        <v>76991220000</v>
      </c>
    </row>
    <row r="50" spans="1:7" ht="18" x14ac:dyDescent="0.3">
      <c r="A50" t="s">
        <v>114</v>
      </c>
      <c r="B50" t="e" vm="103">
        <v>#VALUE!</v>
      </c>
      <c r="C50" s="7" t="s">
        <v>58</v>
      </c>
      <c r="D50" t="s">
        <v>115</v>
      </c>
      <c r="E50" s="2" cm="1">
        <f t="array" aca="1" ref="E50" ca="1">_FV(B50,"Price")</f>
        <v>338.04</v>
      </c>
      <c r="F50" s="1" cm="1">
        <f t="array" aca="1" ref="F50" ca="1">_FV(B50,"Change (%)",TRUE)</f>
        <v>7.6309999999999998E-3</v>
      </c>
      <c r="G50" s="3" cm="1">
        <f t="array" aca="1" ref="G50" ca="1">_FV(B50,"Market cap",TRUE)</f>
        <v>86572050000</v>
      </c>
    </row>
    <row r="51" spans="1:7" ht="18" x14ac:dyDescent="0.3">
      <c r="A51" t="s">
        <v>116</v>
      </c>
      <c r="B51" t="e" vm="104">
        <v>#VALUE!</v>
      </c>
      <c r="C51" s="7" t="s">
        <v>58</v>
      </c>
      <c r="D51" t="s">
        <v>117</v>
      </c>
      <c r="E51" s="2" cm="1">
        <f t="array" aca="1" ref="E51" ca="1">_FV(B51,"Price")</f>
        <v>117.18</v>
      </c>
      <c r="F51" s="1" cm="1">
        <f t="array" aca="1" ref="F51" ca="1">_FV(B51,"Change (%)",TRUE)</f>
        <v>-8.6289999999999995E-3</v>
      </c>
      <c r="G51" s="3" cm="1">
        <f t="array" aca="1" ref="G51" ca="1">_FV(B51,"Market cap",TRUE)</f>
        <v>104365400000</v>
      </c>
    </row>
    <row r="52" spans="1:7" ht="18" x14ac:dyDescent="0.3">
      <c r="A52" t="s">
        <v>118</v>
      </c>
      <c r="B52" t="e" vm="105">
        <v>#VALUE!</v>
      </c>
      <c r="C52" s="7" t="s">
        <v>58</v>
      </c>
      <c r="D52" t="s">
        <v>119</v>
      </c>
      <c r="E52" s="2" cm="1">
        <f t="array" aca="1" ref="E52" ca="1">_FV(B52,"Price")</f>
        <v>89.09</v>
      </c>
      <c r="F52" s="1" cm="1">
        <f t="array" aca="1" ref="F52" ca="1">_FV(B52,"Change (%)",TRUE)</f>
        <v>-1.0090000000000001E-3</v>
      </c>
      <c r="G52" s="3" cm="1">
        <f t="array" aca="1" ref="G52" ca="1">_FV(B52,"Market cap",TRUE)</f>
        <v>63738020000</v>
      </c>
    </row>
    <row r="53" spans="1:7" ht="18" x14ac:dyDescent="0.3">
      <c r="A53" t="s">
        <v>120</v>
      </c>
      <c r="B53" t="e" vm="106">
        <v>#VALUE!</v>
      </c>
      <c r="C53" s="7" t="s">
        <v>58</v>
      </c>
      <c r="D53" t="s">
        <v>121</v>
      </c>
      <c r="E53" s="2" cm="1">
        <f t="array" aca="1" ref="E53" ca="1">_FV(B53,"Price")</f>
        <v>130.87</v>
      </c>
      <c r="F53" s="1" cm="1">
        <f t="array" aca="1" ref="F53" ca="1">_FV(B53,"Change (%)",TRUE)</f>
        <v>4.5870000000000004E-4</v>
      </c>
      <c r="G53" s="3" cm="1">
        <f t="array" aca="1" ref="G53" ca="1">_FV(B53,"Market cap",TRUE)</f>
        <v>74791450000</v>
      </c>
    </row>
    <row r="54" spans="1:7" ht="18" x14ac:dyDescent="0.3">
      <c r="A54" t="s">
        <v>122</v>
      </c>
      <c r="B54" t="e" vm="107">
        <v>#VALUE!</v>
      </c>
      <c r="C54" s="7" t="s">
        <v>58</v>
      </c>
      <c r="D54" t="s">
        <v>123</v>
      </c>
      <c r="E54" s="2" cm="1">
        <f t="array" aca="1" ref="E54" ca="1">_FV(B54,"Price")</f>
        <v>271.04000000000002</v>
      </c>
      <c r="F54" s="1" cm="1">
        <f t="array" aca="1" ref="F54" ca="1">_FV(B54,"Change (%)",TRUE)</f>
        <v>-1.4760000000000001E-4</v>
      </c>
      <c r="G54" s="3" cm="1">
        <f t="array" aca="1" ref="G54" ca="1">_FV(B54,"Market cap",TRUE)</f>
        <v>61409200000</v>
      </c>
    </row>
    <row r="55" spans="1:7" ht="18" x14ac:dyDescent="0.3">
      <c r="A55" t="s">
        <v>124</v>
      </c>
      <c r="B55" t="e" vm="108">
        <v>#VALUE!</v>
      </c>
      <c r="C55" s="7" t="s">
        <v>58</v>
      </c>
      <c r="D55" t="s">
        <v>125</v>
      </c>
      <c r="E55" s="2" cm="1">
        <f t="array" aca="1" ref="E55" ca="1">_FV(B55,"Price")</f>
        <v>102.53</v>
      </c>
      <c r="F55" s="1" cm="1">
        <f t="array" aca="1" ref="F55" ca="1">_FV(B55,"Change (%)",TRUE)</f>
        <v>7.8090000000000006E-4</v>
      </c>
      <c r="G55" s="3" cm="1">
        <f t="array" aca="1" ref="G55" ca="1">_FV(B55,"Market cap",TRUE)</f>
        <v>55432340000</v>
      </c>
    </row>
    <row r="56" spans="1:7" ht="18" x14ac:dyDescent="0.3">
      <c r="A56" t="s">
        <v>126</v>
      </c>
      <c r="B56" t="e" vm="109">
        <v>#VALUE!</v>
      </c>
      <c r="C56" s="7" t="s">
        <v>58</v>
      </c>
      <c r="D56" t="s">
        <v>127</v>
      </c>
      <c r="E56" s="2" cm="1">
        <f t="array" aca="1" ref="E56" ca="1">_FV(B56,"Price")</f>
        <v>203.24</v>
      </c>
      <c r="F56" s="1" cm="1">
        <f t="array" aca="1" ref="F56" ca="1">_FV(B56,"Change (%)",TRUE)</f>
        <v>3.555E-3</v>
      </c>
      <c r="G56" s="3" cm="1">
        <f t="array" aca="1" ref="G56" ca="1">_FV(B56,"Market cap",TRUE)</f>
        <v>53821510000</v>
      </c>
    </row>
    <row r="57" spans="1:7" ht="18" x14ac:dyDescent="0.3">
      <c r="A57" t="s">
        <v>128</v>
      </c>
      <c r="B57" t="e" vm="110">
        <v>#VALUE!</v>
      </c>
      <c r="C57" s="7" t="s">
        <v>58</v>
      </c>
      <c r="D57" t="s">
        <v>129</v>
      </c>
      <c r="E57" s="2" cm="1">
        <f t="array" aca="1" ref="E57" ca="1">_FV(B57,"Price")</f>
        <v>81.62</v>
      </c>
      <c r="F57" s="1" cm="1">
        <f t="array" aca="1" ref="F57" ca="1">_FV(B57,"Change (%)",TRUE)</f>
        <v>-4.8770000000000003E-3</v>
      </c>
      <c r="G57" s="3" cm="1">
        <f t="array" aca="1" ref="G57" ca="1">_FV(B57,"Market cap",TRUE)</f>
        <v>47040070000</v>
      </c>
    </row>
    <row r="58" spans="1:7" ht="18" x14ac:dyDescent="0.3">
      <c r="A58" t="s">
        <v>130</v>
      </c>
      <c r="B58" t="e" vm="111">
        <v>#VALUE!</v>
      </c>
      <c r="C58" s="7" t="s">
        <v>58</v>
      </c>
      <c r="D58" t="s">
        <v>131</v>
      </c>
      <c r="E58" s="2" cm="1">
        <f t="array" aca="1" ref="E58" ca="1">_FV(B58,"Price")</f>
        <v>504.46</v>
      </c>
      <c r="F58" s="1" cm="1">
        <f t="array" aca="1" ref="F58" ca="1">_FV(B58,"Change (%)",TRUE)</f>
        <v>-7.3790000000000001E-3</v>
      </c>
      <c r="G58" s="3" cm="1">
        <f t="array" aca="1" ref="G58" ca="1">_FV(B58,"Market cap",TRUE)</f>
        <v>48036030000</v>
      </c>
    </row>
    <row r="59" spans="1:7" ht="18" x14ac:dyDescent="0.3">
      <c r="A59" t="s">
        <v>132</v>
      </c>
      <c r="B59" t="e" vm="112">
        <v>#VALUE!</v>
      </c>
      <c r="C59" s="7" t="s">
        <v>58</v>
      </c>
      <c r="D59" t="s">
        <v>133</v>
      </c>
      <c r="E59" s="2" cm="1">
        <f t="array" aca="1" ref="E59" ca="1">_FV(B59,"Price")</f>
        <v>77.209999999999994</v>
      </c>
      <c r="F59" s="1" cm="1">
        <f t="array" aca="1" ref="F59" ca="1">_FV(B59,"Change (%)",TRUE)</f>
        <v>-5.7940000000000005E-3</v>
      </c>
      <c r="G59" s="3" cm="1">
        <f t="array" aca="1" ref="G59" ca="1">_FV(B59,"Market cap",TRUE)</f>
        <v>51830910000</v>
      </c>
    </row>
    <row r="60" spans="1:7" ht="18" x14ac:dyDescent="0.3">
      <c r="A60" t="s">
        <v>134</v>
      </c>
      <c r="B60" t="e" vm="113">
        <v>#VALUE!</v>
      </c>
      <c r="C60" s="7" t="s">
        <v>58</v>
      </c>
      <c r="D60" t="s">
        <v>135</v>
      </c>
      <c r="E60" s="2" cm="1">
        <f t="array" aca="1" ref="E60" ca="1">_FV(B60,"Price")</f>
        <v>101.92</v>
      </c>
      <c r="F60" s="1" cm="1">
        <f t="array" aca="1" ref="F60" ca="1">_FV(B60,"Change (%)",TRUE)</f>
        <v>-3.9090000000000001E-3</v>
      </c>
      <c r="G60" s="3" cm="1">
        <f t="array" aca="1" ref="G60" ca="1">_FV(B60,"Market cap",TRUE)</f>
        <v>36079680000</v>
      </c>
    </row>
    <row r="61" spans="1:7" ht="18" x14ac:dyDescent="0.3">
      <c r="A61" t="s">
        <v>136</v>
      </c>
      <c r="B61" t="e" vm="114">
        <v>#VALUE!</v>
      </c>
      <c r="C61" s="7" t="s">
        <v>58</v>
      </c>
      <c r="D61" t="s">
        <v>137</v>
      </c>
      <c r="E61" s="2" cm="1">
        <f t="array" aca="1" ref="E61" ca="1">_FV(B61,"Price")</f>
        <v>92.07</v>
      </c>
      <c r="F61" s="1" cm="1">
        <f t="array" aca="1" ref="F61" ca="1">_FV(B61,"Change (%)",TRUE)</f>
        <v>1.0870000000000001E-3</v>
      </c>
      <c r="G61" s="3" cm="1">
        <f t="array" aca="1" ref="G61" ca="1">_FV(B61,"Market cap",TRUE)</f>
        <v>34503650000</v>
      </c>
    </row>
    <row r="62" spans="1:7" ht="18" x14ac:dyDescent="0.3">
      <c r="A62" t="s">
        <v>138</v>
      </c>
      <c r="B62" t="e" vm="115">
        <v>#VALUE!</v>
      </c>
      <c r="C62" s="7" t="s">
        <v>58</v>
      </c>
      <c r="D62" t="s">
        <v>139</v>
      </c>
      <c r="E62" s="2" cm="1">
        <f t="array" aca="1" ref="E62" ca="1">_FV(B62,"Price")</f>
        <v>128.91999999999999</v>
      </c>
      <c r="F62" s="1" cm="1">
        <f t="array" aca="1" ref="F62" ca="1">_FV(B62,"Change (%)",TRUE)</f>
        <v>-1.0070000000000001E-3</v>
      </c>
      <c r="G62" s="3" cm="1">
        <f t="array" aca="1" ref="G62" ca="1">_FV(B62,"Market cap",TRUE)</f>
        <v>36626560000</v>
      </c>
    </row>
    <row r="63" spans="1:7" ht="18" x14ac:dyDescent="0.3">
      <c r="A63" t="s">
        <v>140</v>
      </c>
      <c r="B63" t="e" vm="116">
        <v>#VALUE!</v>
      </c>
      <c r="C63" s="7" t="s">
        <v>58</v>
      </c>
      <c r="D63" t="s">
        <v>141</v>
      </c>
      <c r="E63" s="2" cm="1">
        <f t="array" aca="1" ref="E63" ca="1">_FV(B63,"Price")</f>
        <v>309.02</v>
      </c>
      <c r="F63" s="1" cm="1">
        <f t="array" aca="1" ref="F63" ca="1">_FV(B63,"Change (%)",TRUE)</f>
        <v>3.0839999999999999E-3</v>
      </c>
      <c r="G63" s="3" cm="1">
        <f t="array" aca="1" ref="G63" ca="1">_FV(B63,"Market cap",TRUE)</f>
        <v>30639270000</v>
      </c>
    </row>
    <row r="64" spans="1:7" ht="18" x14ac:dyDescent="0.3">
      <c r="A64" t="s">
        <v>142</v>
      </c>
      <c r="B64" t="e" vm="117">
        <v>#VALUE!</v>
      </c>
      <c r="C64" s="7" t="s">
        <v>58</v>
      </c>
      <c r="D64" t="s">
        <v>143</v>
      </c>
      <c r="E64" s="2" cm="1">
        <f t="array" aca="1" ref="E64" ca="1">_FV(B64,"Price")</f>
        <v>81.78</v>
      </c>
      <c r="F64" s="1" cm="1">
        <f t="array" aca="1" ref="F64" ca="1">_FV(B64,"Change (%)",TRUE)</f>
        <v>7.0190000000000001E-3</v>
      </c>
      <c r="G64" s="3" cm="1">
        <f t="array" aca="1" ref="G64" ca="1">_FV(B64,"Market cap",TRUE)</f>
        <v>46951670000</v>
      </c>
    </row>
    <row r="65" spans="1:7" ht="18" x14ac:dyDescent="0.3">
      <c r="A65" t="s">
        <v>144</v>
      </c>
      <c r="B65" t="e" vm="118">
        <v>#VALUE!</v>
      </c>
      <c r="C65" s="7" t="s">
        <v>58</v>
      </c>
      <c r="D65" t="s">
        <v>145</v>
      </c>
      <c r="E65" s="2" cm="1">
        <f t="array" aca="1" ref="E65" ca="1">_FV(B65,"Price")</f>
        <v>110.82</v>
      </c>
      <c r="F65" s="1" cm="1">
        <f t="array" aca="1" ref="F65" ca="1">_FV(B65,"Change (%)",TRUE)</f>
        <v>3.532E-3</v>
      </c>
      <c r="G65" s="3" cm="1">
        <f t="array" aca="1" ref="G65" ca="1">_FV(B65,"Market cap",TRUE)</f>
        <v>31761850000</v>
      </c>
    </row>
    <row r="66" spans="1:7" ht="18" x14ac:dyDescent="0.3">
      <c r="A66" t="s">
        <v>146</v>
      </c>
      <c r="B66" t="e" vm="119">
        <v>#VALUE!</v>
      </c>
      <c r="C66" s="7" t="s">
        <v>58</v>
      </c>
      <c r="D66" t="s">
        <v>147</v>
      </c>
      <c r="E66" s="2" cm="1">
        <f t="array" aca="1" ref="E66" ca="1">_FV(B66,"Price")</f>
        <v>96.1</v>
      </c>
      <c r="F66" s="1" cm="1">
        <f t="array" aca="1" ref="F66" ca="1">_FV(B66,"Change (%)",TRUE)</f>
        <v>-2.6979999999999999E-3</v>
      </c>
      <c r="G66" s="3" cm="1">
        <f t="array" aca="1" ref="G66" ca="1">_FV(B66,"Market cap",TRUE)</f>
        <v>27733590000</v>
      </c>
    </row>
    <row r="67" spans="1:7" ht="18" x14ac:dyDescent="0.3">
      <c r="A67" t="s">
        <v>148</v>
      </c>
      <c r="B67" t="e" vm="120">
        <v>#VALUE!</v>
      </c>
      <c r="C67" s="7" t="s">
        <v>58</v>
      </c>
      <c r="D67" t="s">
        <v>149</v>
      </c>
      <c r="E67" s="2" cm="1">
        <f t="array" aca="1" ref="E67" ca="1">_FV(B67,"Price")</f>
        <v>145.32</v>
      </c>
      <c r="F67" s="1" cm="1">
        <f t="array" aca="1" ref="F67" ca="1">_FV(B67,"Change (%)",TRUE)</f>
        <v>-7.8510000000000003E-3</v>
      </c>
      <c r="G67" s="3" cm="1">
        <f t="array" aca="1" ref="G67" ca="1">_FV(B67,"Market cap",TRUE)</f>
        <v>29318970000</v>
      </c>
    </row>
    <row r="68" spans="1:7" ht="18" x14ac:dyDescent="0.3">
      <c r="A68" t="s">
        <v>150</v>
      </c>
      <c r="B68" t="e" vm="121">
        <v>#VALUE!</v>
      </c>
      <c r="C68" s="7" t="s">
        <v>58</v>
      </c>
      <c r="D68" t="s">
        <v>151</v>
      </c>
      <c r="E68" s="2" cm="1">
        <f t="array" aca="1" ref="E68" ca="1">_FV(B68,"Price")</f>
        <v>231.58</v>
      </c>
      <c r="F68" s="1" cm="1">
        <f t="array" aca="1" ref="F68" ca="1">_FV(B68,"Change (%)",TRUE)</f>
        <v>1.3833999999999999E-2</v>
      </c>
      <c r="G68" s="3" cm="1">
        <f t="array" aca="1" ref="G68" ca="1">_FV(B68,"Market cap",TRUE)</f>
        <v>24249520000</v>
      </c>
    </row>
    <row r="69" spans="1:7" ht="18" x14ac:dyDescent="0.3">
      <c r="A69" t="s">
        <v>152</v>
      </c>
      <c r="B69" t="e" vm="122">
        <v>#VALUE!</v>
      </c>
      <c r="C69" s="7" t="s">
        <v>58</v>
      </c>
      <c r="D69" t="s">
        <v>153</v>
      </c>
      <c r="E69" s="2" cm="1">
        <f t="array" aca="1" ref="E69" ca="1">_FV(B69,"Price")</f>
        <v>93.02</v>
      </c>
      <c r="F69" s="1" cm="1">
        <f t="array" aca="1" ref="F69" ca="1">_FV(B69,"Change (%)",TRUE)</f>
        <v>-1.5245E-2</v>
      </c>
      <c r="G69" s="3" cm="1">
        <f t="array" aca="1" ref="G69" ca="1">_FV(B69,"Market cap",TRUE)</f>
        <v>20493800000</v>
      </c>
    </row>
    <row r="70" spans="1:7" ht="18" x14ac:dyDescent="0.3">
      <c r="A70" t="s">
        <v>154</v>
      </c>
      <c r="B70" t="e" vm="123">
        <v>#VALUE!</v>
      </c>
      <c r="C70" s="7" t="s">
        <v>58</v>
      </c>
      <c r="D70" t="s">
        <v>155</v>
      </c>
      <c r="E70" s="2" cm="1">
        <f t="array" aca="1" ref="E70" ca="1">_FV(B70,"Price")</f>
        <v>145.83000000000001</v>
      </c>
      <c r="F70" s="1" cm="1">
        <f t="array" aca="1" ref="F70" ca="1">_FV(B70,"Change (%)",TRUE)</f>
        <v>3.6480000000000002E-3</v>
      </c>
      <c r="G70" s="3" cm="1">
        <f t="array" aca="1" ref="G70" ca="1">_FV(B70,"Market cap",TRUE)</f>
        <v>22793760000</v>
      </c>
    </row>
    <row r="71" spans="1:7" ht="18" x14ac:dyDescent="0.3">
      <c r="A71" t="s">
        <v>156</v>
      </c>
      <c r="B71" t="e" vm="124">
        <v>#VALUE!</v>
      </c>
      <c r="C71" s="7" t="s">
        <v>58</v>
      </c>
      <c r="D71" t="s">
        <v>157</v>
      </c>
      <c r="E71" s="2" cm="1">
        <f t="array" aca="1" ref="E71" ca="1">_FV(B71,"Price")</f>
        <v>105.78</v>
      </c>
      <c r="F71" s="1" cm="1">
        <f t="array" aca="1" ref="F71" ca="1">_FV(B71,"Change (%)",TRUE)</f>
        <v>-5.8269999999999997E-3</v>
      </c>
      <c r="G71" s="3" cm="1">
        <f t="array" aca="1" ref="G71" ca="1">_FV(B71,"Market cap",TRUE)</f>
        <v>20578340000</v>
      </c>
    </row>
    <row r="72" spans="1:7" ht="18" x14ac:dyDescent="0.3">
      <c r="A72" t="s">
        <v>158</v>
      </c>
      <c r="B72" t="e" vm="125">
        <v>#VALUE!</v>
      </c>
      <c r="C72" s="7" t="s">
        <v>58</v>
      </c>
      <c r="D72" t="s">
        <v>159</v>
      </c>
      <c r="E72" s="2" cm="1">
        <f t="array" aca="1" ref="E72" ca="1">_FV(B72,"Price")</f>
        <v>73.08</v>
      </c>
      <c r="F72" s="1" cm="1">
        <f t="array" aca="1" ref="F72" ca="1">_FV(B72,"Change (%)",TRUE)</f>
        <v>1.2329000000000001E-2</v>
      </c>
      <c r="G72" s="3" cm="1">
        <f t="array" aca="1" ref="G72" ca="1">_FV(B72,"Market cap",TRUE)</f>
        <v>27723320000</v>
      </c>
    </row>
    <row r="73" spans="1:7" ht="18" x14ac:dyDescent="0.3">
      <c r="A73" t="s">
        <v>160</v>
      </c>
      <c r="B73" t="e" vm="126">
        <v>#VALUE!</v>
      </c>
      <c r="C73" s="7" t="s">
        <v>58</v>
      </c>
      <c r="D73" t="s">
        <v>161</v>
      </c>
      <c r="E73" s="2" cm="1">
        <f t="array" aca="1" ref="E73" ca="1">_FV(B73,"Price")</f>
        <v>77.010000000000005</v>
      </c>
      <c r="F73" s="1" cm="1">
        <f t="array" aca="1" ref="F73" ca="1">_FV(B73,"Change (%)",TRUE)</f>
        <v>-4.3959999999999997E-3</v>
      </c>
      <c r="G73" s="3" cm="1">
        <f t="array" aca="1" ref="G73" ca="1">_FV(B73,"Market cap",TRUE)</f>
        <v>17264930000</v>
      </c>
    </row>
    <row r="74" spans="1:7" ht="18" x14ac:dyDescent="0.3">
      <c r="A74" t="s">
        <v>162</v>
      </c>
      <c r="B74" t="e" vm="127">
        <v>#VALUE!</v>
      </c>
      <c r="C74" s="7" t="s">
        <v>58</v>
      </c>
      <c r="D74" t="s">
        <v>163</v>
      </c>
      <c r="E74" s="2" cm="1">
        <f t="array" aca="1" ref="E74" ca="1">_FV(B74,"Price")</f>
        <v>335.94</v>
      </c>
      <c r="F74" s="1" cm="1">
        <f t="array" aca="1" ref="F74" ca="1">_FV(B74,"Change (%)",TRUE)</f>
        <v>-1.07E-3</v>
      </c>
      <c r="G74" s="3" cm="1">
        <f t="array" aca="1" ref="G74" ca="1">_FV(B74,"Market cap",TRUE)</f>
        <v>14289120000</v>
      </c>
    </row>
    <row r="75" spans="1:7" ht="18" x14ac:dyDescent="0.3">
      <c r="A75" t="s">
        <v>164</v>
      </c>
      <c r="B75" t="e" vm="128">
        <v>#VALUE!</v>
      </c>
      <c r="C75" s="7" t="s">
        <v>58</v>
      </c>
      <c r="D75" t="s">
        <v>165</v>
      </c>
      <c r="E75" s="2" cm="1">
        <f t="array" aca="1" ref="E75" ca="1">_FV(B75,"Price")</f>
        <v>87.88</v>
      </c>
      <c r="F75" s="1" cm="1">
        <f t="array" aca="1" ref="F75" ca="1">_FV(B75,"Change (%)",TRUE)</f>
        <v>3.3110000000000001E-3</v>
      </c>
      <c r="G75" s="3" cm="1">
        <f t="array" aca="1" ref="G75" ca="1">_FV(B75,"Market cap",TRUE)</f>
        <v>18428130000</v>
      </c>
    </row>
    <row r="76" spans="1:7" ht="18" x14ac:dyDescent="0.3">
      <c r="A76" t="s">
        <v>166</v>
      </c>
      <c r="B76" t="e" vm="129">
        <v>#VALUE!</v>
      </c>
      <c r="C76" s="7" t="s">
        <v>58</v>
      </c>
      <c r="D76" t="s">
        <v>167</v>
      </c>
      <c r="E76" s="2" cm="1">
        <f t="array" aca="1" ref="E76" ca="1">_FV(B76,"Price")</f>
        <v>348.8</v>
      </c>
      <c r="F76" s="1" cm="1">
        <f t="array" aca="1" ref="F76" ca="1">_FV(B76,"Change (%)",TRUE)</f>
        <v>1.147E-4</v>
      </c>
      <c r="G76" s="3" cm="1">
        <f t="array" aca="1" ref="G76" ca="1">_FV(B76,"Market cap",TRUE)</f>
        <v>18238710000</v>
      </c>
    </row>
    <row r="77" spans="1:7" ht="18" x14ac:dyDescent="0.3">
      <c r="A77" t="s">
        <v>168</v>
      </c>
      <c r="B77" t="e" vm="130">
        <v>#VALUE!</v>
      </c>
      <c r="C77" s="7" t="s">
        <v>58</v>
      </c>
      <c r="D77" t="s">
        <v>169</v>
      </c>
      <c r="E77" s="2" cm="1">
        <f t="array" aca="1" ref="E77" ca="1">_FV(B77,"Price")</f>
        <v>119.41</v>
      </c>
      <c r="F77" s="1" cm="1">
        <f t="array" aca="1" ref="F77" ca="1">_FV(B77,"Change (%)",TRUE)</f>
        <v>-1.255E-3</v>
      </c>
      <c r="G77" s="3" cm="1">
        <f t="array" aca="1" ref="G77" ca="1">_FV(B77,"Market cap",TRUE)</f>
        <v>9856445000</v>
      </c>
    </row>
    <row r="78" spans="1:7" ht="18" x14ac:dyDescent="0.3">
      <c r="A78" t="s">
        <v>170</v>
      </c>
      <c r="B78" t="e" vm="131">
        <v>#VALUE!</v>
      </c>
      <c r="C78" s="7" t="s">
        <v>58</v>
      </c>
      <c r="D78" t="s">
        <v>171</v>
      </c>
      <c r="E78" s="2" cm="1">
        <f t="array" aca="1" ref="E78" ca="1">_FV(B78,"Price")</f>
        <v>196.52</v>
      </c>
      <c r="F78" s="1" cm="1">
        <f t="array" aca="1" ref="F78" ca="1">_FV(B78,"Change (%)",TRUE)</f>
        <v>1.8133E-2</v>
      </c>
      <c r="G78" s="3" cm="1">
        <f t="array" aca="1" ref="G78" ca="1">_FV(B78,"Market cap",TRUE)</f>
        <v>9964021000</v>
      </c>
    </row>
    <row r="79" spans="1:7" ht="18" x14ac:dyDescent="0.3">
      <c r="A79" t="s">
        <v>172</v>
      </c>
      <c r="B79" t="e" vm="132">
        <v>#VALUE!</v>
      </c>
      <c r="C79" s="7" t="s">
        <v>58</v>
      </c>
      <c r="D79" t="s">
        <v>173</v>
      </c>
      <c r="E79" s="2" cm="1">
        <f t="array" aca="1" ref="E79" ca="1">_FV(B79,"Price")</f>
        <v>217.85</v>
      </c>
      <c r="F79" s="1" cm="1">
        <f t="array" aca="1" ref="F79" ca="1">_FV(B79,"Change (%)",TRUE)</f>
        <v>6.6540000000000002E-3</v>
      </c>
      <c r="G79" s="3" cm="1">
        <f t="array" aca="1" ref="G79" ca="1">_FV(B79,"Market cap",TRUE)</f>
        <v>8169737000</v>
      </c>
    </row>
    <row r="80" spans="1:7" ht="18" x14ac:dyDescent="0.3">
      <c r="A80" t="s">
        <v>174</v>
      </c>
      <c r="B80" t="e" vm="133">
        <v>#VALUE!</v>
      </c>
      <c r="C80" s="7" t="s">
        <v>58</v>
      </c>
      <c r="D80" t="s">
        <v>175</v>
      </c>
      <c r="E80" s="2" cm="1">
        <f t="array" aca="1" ref="E80" ca="1">_FV(B80,"Price")</f>
        <v>14.38</v>
      </c>
      <c r="F80" s="1" cm="1">
        <f t="array" aca="1" ref="F80" ca="1">_FV(B80,"Change (%)",TRUE)</f>
        <v>-1.3717E-2</v>
      </c>
      <c r="G80" s="3" cm="1">
        <f t="array" aca="1" ref="G80" ca="1">_FV(B80,"Market cap",TRUE)</f>
        <v>6435859000</v>
      </c>
    </row>
    <row r="81" spans="1:7" ht="18" x14ac:dyDescent="0.3">
      <c r="A81" t="s">
        <v>176</v>
      </c>
      <c r="B81" t="e" vm="134">
        <v>#VALUE!</v>
      </c>
      <c r="C81" s="7" t="s">
        <v>58</v>
      </c>
      <c r="D81" t="s">
        <v>177</v>
      </c>
      <c r="E81" s="2" cm="1">
        <f t="array" aca="1" ref="E81" ca="1">_FV(B81,"Price")</f>
        <v>21.51</v>
      </c>
      <c r="F81" s="1" cm="1">
        <f t="array" aca="1" ref="F81" ca="1">_FV(B81,"Change (%)",TRUE)</f>
        <v>-4.627E-3</v>
      </c>
      <c r="G81" s="3" cm="1">
        <f t="array" aca="1" ref="G81" ca="1">_FV(B81,"Market cap",TRUE)</f>
        <v>11303960000</v>
      </c>
    </row>
    <row r="82" spans="1:7" ht="18" x14ac:dyDescent="0.3">
      <c r="A82" t="s">
        <v>178</v>
      </c>
      <c r="B82" t="e" vm="135">
        <v>#VALUE!</v>
      </c>
      <c r="C82" s="7" t="s">
        <v>58</v>
      </c>
      <c r="D82" t="str" cm="1">
        <f t="array" aca="1" ref="D82" ca="1">_FV(B82,"Ticker symbol",TRUE)</f>
        <v>SPGI</v>
      </c>
      <c r="E82" s="2" cm="1">
        <f t="array" aca="1" ref="E82" ca="1">_FV(B82,"Price")</f>
        <v>510.02</v>
      </c>
      <c r="F82" s="1" cm="1">
        <f t="array" aca="1" ref="F82" ca="1">_FV(B82,"Change (%)",TRUE)</f>
        <v>-2.542E-3</v>
      </c>
      <c r="G82" s="3" cm="1">
        <f t="array" aca="1" ref="G82" ca="1">_FV(B82,"Market cap",TRUE)</f>
        <v>156423100000</v>
      </c>
    </row>
    <row r="83" spans="1:7" x14ac:dyDescent="0.3">
      <c r="A83" t="s">
        <v>179</v>
      </c>
      <c r="B83" t="e" vm="19">
        <v>#VALUE!</v>
      </c>
      <c r="C83" t="s">
        <v>180</v>
      </c>
      <c r="D83" t="s">
        <v>181</v>
      </c>
      <c r="E83" s="2" cm="1">
        <f t="array" aca="1" ref="E83" ca="1">_FV(B83,"Price")</f>
        <v>436</v>
      </c>
      <c r="F83" s="1" cm="1">
        <f t="array" aca="1" ref="F83" ca="1">_FV(B83,"Change (%)",TRUE)</f>
        <v>4.5390000000000005E-3</v>
      </c>
      <c r="G83" s="3" cm="1">
        <f t="array" aca="1" ref="G83" ca="1">_FV(B83,"Market cap",TRUE)</f>
        <v>111963600000</v>
      </c>
    </row>
    <row r="84" spans="1:7" x14ac:dyDescent="0.3">
      <c r="A84" t="s">
        <v>182</v>
      </c>
      <c r="B84" t="e" vm="136">
        <v>#VALUE!</v>
      </c>
      <c r="C84" t="s">
        <v>180</v>
      </c>
      <c r="D84" t="s">
        <v>183</v>
      </c>
      <c r="E84" s="2" cm="1">
        <f t="array" aca="1" ref="E84" ca="1">_FV(B84,"Price")</f>
        <v>588.34</v>
      </c>
      <c r="F84" s="1" cm="1">
        <f t="array" aca="1" ref="F84" ca="1">_FV(B84,"Change (%)",TRUE)</f>
        <v>-1.4258E-2</v>
      </c>
      <c r="G84" s="3" cm="1">
        <f t="array" aca="1" ref="G84" ca="1">_FV(B84,"Market cap",TRUE)</f>
        <v>63520420000</v>
      </c>
    </row>
    <row r="85" spans="1:7" x14ac:dyDescent="0.3">
      <c r="A85" t="s">
        <v>184</v>
      </c>
      <c r="B85" t="e" vm="137">
        <v>#VALUE!</v>
      </c>
      <c r="C85" t="s">
        <v>180</v>
      </c>
      <c r="D85" t="s">
        <v>185</v>
      </c>
      <c r="E85" s="2" cm="1">
        <f t="array" aca="1" ref="E85" ca="1">_FV(B85,"Price")</f>
        <v>137</v>
      </c>
      <c r="F85" s="1" cm="1">
        <f t="array" aca="1" ref="F85" ca="1">_FV(B85,"Change (%)",TRUE)</f>
        <v>-7.5339999999999999E-3</v>
      </c>
      <c r="G85" s="3" cm="1">
        <f t="array" aca="1" ref="G85" ca="1">_FV(B85,"Market cap",TRUE)</f>
        <v>23701000000</v>
      </c>
    </row>
    <row r="86" spans="1:7" x14ac:dyDescent="0.3">
      <c r="A86" t="s">
        <v>186</v>
      </c>
      <c r="B86" t="e" vm="138">
        <v>#VALUE!</v>
      </c>
      <c r="C86" t="s">
        <v>180</v>
      </c>
      <c r="D86" t="s">
        <v>187</v>
      </c>
      <c r="E86" s="2" cm="1">
        <f t="array" aca="1" ref="E86" ca="1">_FV(B86,"Price")</f>
        <v>26.26</v>
      </c>
      <c r="F86" s="1" cm="1">
        <f t="array" aca="1" ref="F86" ca="1">_FV(B86,"Change (%)",TRUE)</f>
        <v>-1.7215999999999999E-2</v>
      </c>
      <c r="G86" s="3" cm="1">
        <f t="array" aca="1" ref="G86" ca="1">_FV(B86,"Market cap",TRUE)</f>
        <v>10152710000</v>
      </c>
    </row>
    <row r="87" spans="1:7" x14ac:dyDescent="0.3">
      <c r="A87" t="s">
        <v>188</v>
      </c>
      <c r="B87" t="e" vm="139">
        <v>#VALUE!</v>
      </c>
      <c r="C87" t="s">
        <v>180</v>
      </c>
      <c r="D87" t="s">
        <v>189</v>
      </c>
      <c r="E87" s="2" cm="1">
        <f t="array" aca="1" ref="E87" ca="1">_FV(B87,"Price")</f>
        <v>46.78</v>
      </c>
      <c r="F87" s="1" cm="1">
        <f t="array" aca="1" ref="F87" ca="1">_FV(B87,"Change (%)",TRUE)</f>
        <v>-1.1412E-2</v>
      </c>
      <c r="G87" s="3" cm="1">
        <f t="array" aca="1" ref="G87" ca="1">_FV(B87,"Market cap",TRUE)</f>
        <v>7333574000</v>
      </c>
    </row>
    <row r="88" spans="1:7" x14ac:dyDescent="0.3">
      <c r="A88" t="s">
        <v>190</v>
      </c>
      <c r="B88" t="e" vm="140">
        <v>#VALUE!</v>
      </c>
      <c r="C88" t="s">
        <v>180</v>
      </c>
      <c r="D88" t="s">
        <v>191</v>
      </c>
      <c r="E88" s="2" cm="1">
        <f t="array" aca="1" ref="E88" ca="1">_FV(B88,"Price")</f>
        <v>136.72999999999999</v>
      </c>
      <c r="F88" s="1" cm="1">
        <f t="array" aca="1" ref="F88" ca="1">_FV(B88,"Change (%)",TRUE)</f>
        <v>8.3330000000000001E-3</v>
      </c>
      <c r="G88" s="3" cm="1">
        <f t="array" aca="1" ref="G88" ca="1">_FV(B88,"Market cap",TRUE)</f>
        <v>6715591000</v>
      </c>
    </row>
    <row r="89" spans="1:7" x14ac:dyDescent="0.3">
      <c r="A89" t="s">
        <v>192</v>
      </c>
      <c r="B89" t="e" vm="141">
        <v>#VALUE!</v>
      </c>
      <c r="C89" t="s">
        <v>180</v>
      </c>
      <c r="D89" t="s">
        <v>193</v>
      </c>
      <c r="E89" s="2" cm="1">
        <f t="array" aca="1" ref="E89" ca="1">_FV(B89,"Price")</f>
        <v>352.51</v>
      </c>
      <c r="F89" s="1" cm="1">
        <f t="array" aca="1" ref="F89" ca="1">_FV(B89,"Change (%)",TRUE)</f>
        <v>-1.2180000000000001E-3</v>
      </c>
      <c r="G89" s="3" cm="1">
        <f t="array" aca="1" ref="G89" ca="1">_FV(B89,"Market cap",TRUE)</f>
        <v>88339210000</v>
      </c>
    </row>
    <row r="90" spans="1:7" x14ac:dyDescent="0.3">
      <c r="A90" t="s">
        <v>194</v>
      </c>
      <c r="B90" t="e" vm="142">
        <v>#VALUE!</v>
      </c>
      <c r="C90" t="s">
        <v>180</v>
      </c>
      <c r="D90" t="s">
        <v>195</v>
      </c>
      <c r="E90" s="2" cm="1">
        <f t="array" aca="1" ref="E90" ca="1">_FV(B90,"Price")</f>
        <v>269.83999999999997</v>
      </c>
      <c r="F90" s="1" cm="1">
        <f t="array" aca="1" ref="F90" ca="1">_FV(B90,"Change (%)",TRUE)</f>
        <v>2.2279999999999999E-3</v>
      </c>
      <c r="G90" s="3" cm="1">
        <f t="array" aca="1" ref="G90" ca="1">_FV(B90,"Market cap",TRUE)</f>
        <v>60051330000</v>
      </c>
    </row>
    <row r="91" spans="1:7" x14ac:dyDescent="0.3">
      <c r="A91" t="s">
        <v>196</v>
      </c>
      <c r="B91" t="e" vm="143">
        <v>#VALUE!</v>
      </c>
      <c r="C91" t="s">
        <v>180</v>
      </c>
      <c r="D91" t="s">
        <v>197</v>
      </c>
      <c r="E91" s="2" cm="1">
        <f t="array" aca="1" ref="E91" ca="1">_FV(B91,"Price")</f>
        <v>261.10000000000002</v>
      </c>
      <c r="F91" s="1" cm="1">
        <f t="array" aca="1" ref="F91" ca="1">_FV(B91,"Change (%)",TRUE)</f>
        <v>5.5459999999999997E-3</v>
      </c>
      <c r="G91" s="3" cm="1">
        <f t="array" aca="1" ref="G91" ca="1">_FV(B91,"Market cap",TRUE)</f>
        <v>74025150000</v>
      </c>
    </row>
    <row r="92" spans="1:7" x14ac:dyDescent="0.3">
      <c r="A92" t="s">
        <v>198</v>
      </c>
      <c r="B92" t="e" vm="144">
        <v>#VALUE!</v>
      </c>
      <c r="C92" t="s">
        <v>180</v>
      </c>
      <c r="D92" t="s">
        <v>199</v>
      </c>
      <c r="E92" s="2" cm="1">
        <f t="array" aca="1" ref="E92" ca="1">_FV(B92,"Price")</f>
        <v>69.06</v>
      </c>
      <c r="F92" s="1" cm="1">
        <f t="array" aca="1" ref="F92" ca="1">_FV(B92,"Change (%)",TRUE)</f>
        <v>6.8520000000000005E-3</v>
      </c>
      <c r="G92" s="3" cm="1">
        <f t="array" aca="1" ref="G92" ca="1">_FV(B92,"Market cap",TRUE)</f>
        <v>47110660000</v>
      </c>
    </row>
    <row r="93" spans="1:7" x14ac:dyDescent="0.3">
      <c r="A93" t="s">
        <v>200</v>
      </c>
      <c r="B93" t="e" vm="145">
        <v>#VALUE!</v>
      </c>
      <c r="C93" t="s">
        <v>180</v>
      </c>
      <c r="D93" t="s">
        <v>201</v>
      </c>
      <c r="E93" s="2" cm="1">
        <f t="array" aca="1" ref="E93" ca="1">_FV(B93,"Price")</f>
        <v>67.650000000000006</v>
      </c>
      <c r="F93" s="1" cm="1">
        <f t="array" aca="1" ref="F93" ca="1">_FV(B93,"Change (%)",TRUE)</f>
        <v>-5.293E-3</v>
      </c>
      <c r="G93" s="3" cm="1">
        <f t="array" aca="1" ref="G93" ca="1">_FV(B93,"Market cap",TRUE)</f>
        <v>28311440000</v>
      </c>
    </row>
    <row r="94" spans="1:7" x14ac:dyDescent="0.3">
      <c r="A94" t="s">
        <v>202</v>
      </c>
      <c r="B94" t="e" vm="146">
        <v>#VALUE!</v>
      </c>
      <c r="C94" t="s">
        <v>180</v>
      </c>
      <c r="D94" t="s">
        <v>203</v>
      </c>
      <c r="E94" s="2" cm="1">
        <f t="array" aca="1" ref="E94" ca="1">_FV(B94,"Price")</f>
        <v>110.08</v>
      </c>
      <c r="F94" s="1" cm="1">
        <f t="array" aca="1" ref="F94" ca="1">_FV(B94,"Change (%)",TRUE)</f>
        <v>-1.0161E-2</v>
      </c>
      <c r="G94" s="3" cm="1">
        <f t="array" aca="1" ref="G94" ca="1">_FV(B94,"Market cap",TRUE)</f>
        <v>24988160000</v>
      </c>
    </row>
    <row r="95" spans="1:7" x14ac:dyDescent="0.3">
      <c r="A95" t="s">
        <v>204</v>
      </c>
      <c r="B95" t="e" vm="147">
        <v>#VALUE!</v>
      </c>
      <c r="C95" t="s">
        <v>180</v>
      </c>
      <c r="D95" t="s">
        <v>205</v>
      </c>
      <c r="E95" s="2" cm="1">
        <f t="array" aca="1" ref="E95" ca="1">_FV(B95,"Price")</f>
        <v>28.32</v>
      </c>
      <c r="F95" s="1" cm="1">
        <f t="array" aca="1" ref="F95" ca="1">_FV(B95,"Change (%)",TRUE)</f>
        <v>-1.2208000000000002E-2</v>
      </c>
      <c r="G95" s="3" cm="1">
        <f t="array" aca="1" ref="G95" ca="1">_FV(B95,"Market cap",TRUE)</f>
        <v>20018320000</v>
      </c>
    </row>
    <row r="96" spans="1:7" x14ac:dyDescent="0.3">
      <c r="A96" t="s">
        <v>206</v>
      </c>
      <c r="B96" t="e" vm="148">
        <v>#VALUE!</v>
      </c>
      <c r="C96" t="s">
        <v>180</v>
      </c>
      <c r="D96" t="s">
        <v>207</v>
      </c>
      <c r="E96" s="2" cm="1">
        <f t="array" aca="1" ref="E96" ca="1">_FV(B96,"Price")</f>
        <v>56.13</v>
      </c>
      <c r="F96" s="1" cm="1">
        <f t="array" aca="1" ref="F96" ca="1">_FV(B96,"Change (%)",TRUE)</f>
        <v>-3.5510000000000003E-3</v>
      </c>
      <c r="G96" s="3" cm="1">
        <f t="array" aca="1" ref="G96" ca="1">_FV(B96,"Market cap",TRUE)</f>
        <v>18040180000</v>
      </c>
    </row>
    <row r="97" spans="1:7" x14ac:dyDescent="0.3">
      <c r="A97" t="s">
        <v>208</v>
      </c>
      <c r="B97" t="e" vm="149">
        <v>#VALUE!</v>
      </c>
      <c r="C97" t="s">
        <v>180</v>
      </c>
      <c r="D97" t="s">
        <v>209</v>
      </c>
      <c r="E97" s="2" cm="1">
        <f t="array" aca="1" ref="E97" ca="1">_FV(B97,"Price")</f>
        <v>88.89</v>
      </c>
      <c r="F97" s="1" cm="1">
        <f t="array" aca="1" ref="F97" ca="1">_FV(B97,"Change (%)",TRUE)</f>
        <v>-2.2489999999999999E-4</v>
      </c>
      <c r="G97" s="3" cm="1">
        <f t="array" aca="1" ref="G97" ca="1">_FV(B97,"Market cap",TRUE)</f>
        <v>14401070000</v>
      </c>
    </row>
    <row r="98" spans="1:7" x14ac:dyDescent="0.3">
      <c r="A98" t="s">
        <v>210</v>
      </c>
      <c r="B98" t="e" vm="150">
        <v>#VALUE!</v>
      </c>
      <c r="C98" t="s">
        <v>180</v>
      </c>
      <c r="D98" t="s">
        <v>211</v>
      </c>
      <c r="E98" s="2" cm="1">
        <f t="array" aca="1" ref="E98" ca="1">_FV(B98,"Price")</f>
        <v>80.540000000000006</v>
      </c>
      <c r="F98" s="1" cm="1">
        <f t="array" aca="1" ref="F98" ca="1">_FV(B98,"Change (%)",TRUE)</f>
        <v>-1.0078999999999999E-2</v>
      </c>
      <c r="G98" s="3" cm="1">
        <f t="array" aca="1" ref="G98" ca="1">_FV(B98,"Market cap",TRUE)</f>
        <v>9299160000</v>
      </c>
    </row>
    <row r="99" spans="1:7" x14ac:dyDescent="0.3">
      <c r="A99" t="s">
        <v>212</v>
      </c>
      <c r="B99" t="e" vm="151">
        <v>#VALUE!</v>
      </c>
      <c r="C99" t="s">
        <v>180</v>
      </c>
      <c r="D99" t="s">
        <v>213</v>
      </c>
      <c r="E99" s="2" cm="1">
        <f t="array" aca="1" ref="E99" ca="1">_FV(B99,"Price")</f>
        <v>57.61</v>
      </c>
      <c r="F99" s="1" cm="1">
        <f t="array" aca="1" ref="F99" ca="1">_FV(B99,"Change (%)",TRUE)</f>
        <v>-5.6959999999999997E-3</v>
      </c>
      <c r="G99" s="3" cm="1">
        <f t="array" aca="1" ref="G99" ca="1">_FV(B99,"Market cap",TRUE)</f>
        <v>6778445000</v>
      </c>
    </row>
    <row r="100" spans="1:7" x14ac:dyDescent="0.3">
      <c r="A100" t="s">
        <v>214</v>
      </c>
      <c r="B100" t="e" vm="152">
        <v>#VALUE!</v>
      </c>
      <c r="C100" t="s">
        <v>180</v>
      </c>
      <c r="D100" t="s">
        <v>215</v>
      </c>
      <c r="E100" s="2" cm="1">
        <f t="array" aca="1" ref="E100" ca="1">_FV(B100,"Price")</f>
        <v>35.1</v>
      </c>
      <c r="F100" s="1" cm="1">
        <f t="array" aca="1" ref="F100" ca="1">_FV(B100,"Change (%)",TRUE)</f>
        <v>2.5709999999999999E-3</v>
      </c>
      <c r="G100" s="3" cm="1">
        <f t="array" aca="1" ref="G100" ca="1">_FV(B100,"Market cap",TRUE)</f>
        <v>11134800000</v>
      </c>
    </row>
    <row r="101" spans="1:7" x14ac:dyDescent="0.3">
      <c r="A101" t="s">
        <v>216</v>
      </c>
      <c r="B101" t="e" vm="153">
        <v>#VALUE!</v>
      </c>
      <c r="C101" t="s">
        <v>180</v>
      </c>
      <c r="D101" t="s">
        <v>217</v>
      </c>
      <c r="E101" s="2" cm="1">
        <f t="array" aca="1" ref="E101" ca="1">_FV(B101,"Price")</f>
        <v>52.5</v>
      </c>
      <c r="F101" s="1" cm="1">
        <f t="array" aca="1" ref="F101" ca="1">_FV(B101,"Change (%)",TRUE)</f>
        <v>-1.9791E-2</v>
      </c>
      <c r="G101" s="3" cm="1">
        <f t="array" aca="1" ref="G101" ca="1">_FV(B101,"Market cap",TRUE)</f>
        <v>5743887000</v>
      </c>
    </row>
    <row r="102" spans="1:7" x14ac:dyDescent="0.3">
      <c r="A102" t="s">
        <v>218</v>
      </c>
      <c r="B102" t="e" vm="154">
        <v>#VALUE!</v>
      </c>
      <c r="C102" t="s">
        <v>180</v>
      </c>
      <c r="D102" t="s">
        <v>219</v>
      </c>
      <c r="E102" s="2" cm="1">
        <f t="array" aca="1" ref="E102" ca="1">_FV(B102,"Price")</f>
        <v>38.22</v>
      </c>
      <c r="F102" s="1" cm="1">
        <f t="array" aca="1" ref="F102" ca="1">_FV(B102,"Change (%)",TRUE)</f>
        <v>5.5249999999999995E-3</v>
      </c>
      <c r="G102" s="3" cm="1">
        <f t="array" aca="1" ref="G102" ca="1">_FV(B102,"Market cap",TRUE)</f>
        <v>4774031000</v>
      </c>
    </row>
    <row r="103" spans="1:7" x14ac:dyDescent="0.3">
      <c r="A103" t="s">
        <v>220</v>
      </c>
      <c r="B103" t="e" vm="155">
        <v>#VALUE!</v>
      </c>
      <c r="C103" t="s">
        <v>221</v>
      </c>
      <c r="D103" t="s">
        <v>222</v>
      </c>
      <c r="E103" s="2" cm="1">
        <f t="array" aca="1" ref="E103" ca="1">_FV(B103,"Price")</f>
        <v>63.11</v>
      </c>
      <c r="F103" s="1" cm="1">
        <f t="array" aca="1" ref="F103" ca="1">_FV(B103,"Change (%)",TRUE)</f>
        <v>-3.9459999999999999E-3</v>
      </c>
      <c r="G103" s="3" cm="1">
        <f t="array" aca="1" ref="G103" ca="1">_FV(B103,"Market cap",TRUE)</f>
        <v>249915500000</v>
      </c>
    </row>
    <row r="104" spans="1:7" x14ac:dyDescent="0.3">
      <c r="A104" t="s">
        <v>223</v>
      </c>
      <c r="B104" t="e" vm="20">
        <v>#VALUE!</v>
      </c>
      <c r="C104" t="s">
        <v>221</v>
      </c>
      <c r="D104" t="s">
        <v>224</v>
      </c>
      <c r="E104" s="2" cm="1">
        <f t="array" aca="1" ref="E104" ca="1">_FV(B104,"Price")</f>
        <v>91.2</v>
      </c>
      <c r="F104" s="1" cm="1">
        <f t="array" aca="1" ref="F104" ca="1">_FV(B104,"Change (%)",TRUE)</f>
        <v>-1.4693000000000001E-2</v>
      </c>
      <c r="G104" s="3" cm="1">
        <f t="array" aca="1" ref="G104" ca="1">_FV(B104,"Market cap",TRUE)</f>
        <v>114540000000</v>
      </c>
    </row>
    <row r="105" spans="1:7" x14ac:dyDescent="0.3">
      <c r="A105" t="s">
        <v>225</v>
      </c>
      <c r="B105" t="e" vm="16">
        <v>#VALUE!</v>
      </c>
      <c r="C105" t="s">
        <v>221</v>
      </c>
      <c r="D105" t="s">
        <v>226</v>
      </c>
      <c r="E105" s="2" cm="1">
        <f t="array" aca="1" ref="E105" ca="1">_FV(B105,"Price")</f>
        <v>418.92</v>
      </c>
      <c r="F105" s="1" cm="1">
        <f t="array" aca="1" ref="F105" ca="1">_FV(B105,"Change (%)",TRUE)</f>
        <v>-6.6390000000000008E-3</v>
      </c>
      <c r="G105" s="3" cm="1">
        <f t="array" aca="1" ref="G105" ca="1">_FV(B105,"Market cap",TRUE)</f>
        <v>69924370000</v>
      </c>
    </row>
    <row r="106" spans="1:7" x14ac:dyDescent="0.3">
      <c r="A106" t="s">
        <v>227</v>
      </c>
      <c r="B106" t="e" vm="156">
        <v>#VALUE!</v>
      </c>
      <c r="C106" t="s">
        <v>221</v>
      </c>
      <c r="D106" t="s">
        <v>228</v>
      </c>
      <c r="E106" s="2" cm="1">
        <f t="array" aca="1" ref="E106" ca="1">_FV(B106,"Price")</f>
        <v>200.59</v>
      </c>
      <c r="F106" s="1" cm="1">
        <f t="array" aca="1" ref="F106" ca="1">_FV(B106,"Change (%)",TRUE)</f>
        <v>-4.9109999999999996E-3</v>
      </c>
      <c r="G106" s="3" cm="1">
        <f t="array" aca="1" ref="G106" ca="1">_FV(B106,"Market cap",TRUE)</f>
        <v>38621890000</v>
      </c>
    </row>
    <row r="107" spans="1:7" x14ac:dyDescent="0.3">
      <c r="A107" t="s">
        <v>229</v>
      </c>
      <c r="B107" t="e" vm="157">
        <v>#VALUE!</v>
      </c>
      <c r="C107" t="s">
        <v>221</v>
      </c>
      <c r="D107" t="s">
        <v>230</v>
      </c>
      <c r="E107" s="2" cm="1">
        <f t="array" aca="1" ref="E107" ca="1">_FV(B107,"Price")</f>
        <v>35.99</v>
      </c>
      <c r="F107" s="1" cm="1">
        <f t="array" aca="1" ref="F107" ca="1">_FV(B107,"Change (%)",TRUE)</f>
        <v>5.5599999999999996E-4</v>
      </c>
      <c r="G107" s="3" cm="1">
        <f t="array" aca="1" ref="G107" ca="1">_FV(B107,"Market cap",TRUE)</f>
        <v>12034430000</v>
      </c>
    </row>
    <row r="108" spans="1:7" x14ac:dyDescent="0.3">
      <c r="A108" t="s">
        <v>231</v>
      </c>
      <c r="B108" t="e" vm="158">
        <v>#VALUE!</v>
      </c>
      <c r="C108" t="s">
        <v>221</v>
      </c>
      <c r="D108" t="s">
        <v>232</v>
      </c>
      <c r="E108" s="2" cm="1">
        <f t="array" aca="1" ref="E108" ca="1">_FV(B108,"Price")</f>
        <v>141.31</v>
      </c>
      <c r="F108" s="1" cm="1">
        <f t="array" aca="1" ref="F108" ca="1">_FV(B108,"Change (%)",TRUE)</f>
        <v>-2.2589999999999997E-3</v>
      </c>
      <c r="G108" s="3" cm="1">
        <f t="array" aca="1" ref="G108" ca="1">_FV(B108,"Market cap",TRUE)</f>
        <v>12159630000</v>
      </c>
    </row>
    <row r="109" spans="1:7" x14ac:dyDescent="0.3">
      <c r="A109" t="s">
        <v>233</v>
      </c>
      <c r="B109" t="e" vm="15">
        <v>#VALUE!</v>
      </c>
      <c r="C109" t="s">
        <v>234</v>
      </c>
      <c r="D109" t="s">
        <v>235</v>
      </c>
      <c r="E109" s="2" cm="1">
        <f t="array" aca="1" ref="E109" ca="1">_FV(B109,"Price")</f>
        <v>195.27</v>
      </c>
      <c r="F109" s="1" cm="1">
        <f t="array" aca="1" ref="F109" ca="1">_FV(B109,"Change (%)",TRUE)</f>
        <v>-3.0244E-2</v>
      </c>
      <c r="G109" s="3" cm="1">
        <f t="array" aca="1" ref="G109" ca="1">_FV(B109,"Market cap",TRUE)</f>
        <v>2916519000000</v>
      </c>
    </row>
    <row r="110" spans="1:7" x14ac:dyDescent="0.3">
      <c r="A110" t="s">
        <v>236</v>
      </c>
      <c r="B110" t="e" vm="159">
        <v>#VALUE!</v>
      </c>
      <c r="C110" t="s">
        <v>234</v>
      </c>
      <c r="D110" t="s">
        <v>237</v>
      </c>
      <c r="E110" s="2" cm="1">
        <f t="array" aca="1" ref="E110" ca="1">_FV(B110,"Price")</f>
        <v>27.98</v>
      </c>
      <c r="F110" s="1" cm="1">
        <f t="array" aca="1" ref="F110" ca="1">_FV(B110,"Change (%)",TRUE)</f>
        <v>-1.8245999999999998E-2</v>
      </c>
      <c r="G110" s="3" cm="1">
        <f t="array" aca="1" ref="G110" ca="1">_FV(B110,"Market cap",TRUE)</f>
        <v>26376830000</v>
      </c>
    </row>
    <row r="111" spans="1:7" x14ac:dyDescent="0.3">
      <c r="A111" t="s">
        <v>238</v>
      </c>
      <c r="B111" t="e" vm="160">
        <v>#VALUE!</v>
      </c>
      <c r="C111" t="s">
        <v>234</v>
      </c>
      <c r="D111" t="s">
        <v>239</v>
      </c>
      <c r="E111" s="2" cm="1">
        <f t="array" aca="1" ref="E111" ca="1">_FV(B111,"Price")</f>
        <v>112.11</v>
      </c>
      <c r="F111" s="1" cm="1">
        <f t="array" aca="1" ref="F111" ca="1">_FV(B111,"Change (%)",TRUE)</f>
        <v>1.4289999999999999E-3</v>
      </c>
      <c r="G111" s="3" cm="1">
        <f t="array" aca="1" ref="G111" ca="1">_FV(B111,"Market cap",TRUE)</f>
        <v>76624670000</v>
      </c>
    </row>
    <row r="112" spans="1:7" x14ac:dyDescent="0.3">
      <c r="A112" t="s">
        <v>240</v>
      </c>
      <c r="B112" t="e" vm="161">
        <v>#VALUE!</v>
      </c>
      <c r="C112" t="s">
        <v>234</v>
      </c>
      <c r="D112" t="s">
        <v>241</v>
      </c>
      <c r="E112" s="2" cm="1">
        <f t="array" aca="1" ref="E112" ca="1">_FV(B112,"Price")</f>
        <v>17.420000000000002</v>
      </c>
      <c r="F112" s="1" cm="1">
        <f t="array" aca="1" ref="F112" ca="1">_FV(B112,"Change (%)",TRUE)</f>
        <v>-7.4070000000000004E-3</v>
      </c>
      <c r="G112" s="3" cm="1">
        <f t="array" aca="1" ref="G112" ca="1">_FV(B112,"Market cap",TRUE)</f>
        <v>22882530000</v>
      </c>
    </row>
    <row r="113" spans="1:7" x14ac:dyDescent="0.3">
      <c r="A113" t="s">
        <v>242</v>
      </c>
      <c r="B113" t="e" vm="162">
        <v>#VALUE!</v>
      </c>
      <c r="C113" t="s">
        <v>234</v>
      </c>
      <c r="D113" t="s">
        <v>243</v>
      </c>
      <c r="E113" s="2" cm="1">
        <f t="array" aca="1" ref="E113" ca="1">_FV(B113,"Price")</f>
        <v>98</v>
      </c>
      <c r="F113" s="1" cm="1">
        <f t="array" aca="1" ref="F113" ca="1">_FV(B113,"Change (%)",TRUE)</f>
        <v>-1.7839000000000001E-2</v>
      </c>
      <c r="G113" s="3" cm="1">
        <f t="array" aca="1" ref="G113" ca="1">_FV(B113,"Market cap",TRUE)</f>
        <v>19934330000</v>
      </c>
    </row>
    <row r="114" spans="1:7" x14ac:dyDescent="0.3">
      <c r="A114" t="s">
        <v>244</v>
      </c>
      <c r="B114" t="e" vm="163">
        <v>#VALUE!</v>
      </c>
      <c r="C114" t="s">
        <v>234</v>
      </c>
      <c r="D114" t="s">
        <v>245</v>
      </c>
      <c r="E114" s="2" cm="1">
        <f t="array" aca="1" ref="E114" ca="1">_FV(B114,"Price")</f>
        <v>40.090000000000003</v>
      </c>
      <c r="F114" s="1" cm="1">
        <f t="array" aca="1" ref="F114" ca="1">_FV(B114,"Change (%)",TRUE)</f>
        <v>-2.9767999999999999E-2</v>
      </c>
      <c r="G114" s="3" cm="1">
        <f t="array" aca="1" ref="G114" ca="1">_FV(B114,"Market cap",TRUE)</f>
        <v>23926420000</v>
      </c>
    </row>
    <row r="115" spans="1:7" x14ac:dyDescent="0.3">
      <c r="A115" t="s">
        <v>246</v>
      </c>
      <c r="B115" t="e" vm="164">
        <v>#VALUE!</v>
      </c>
      <c r="C115" t="s">
        <v>234</v>
      </c>
      <c r="D115" t="s">
        <v>247</v>
      </c>
      <c r="E115" s="2" cm="1">
        <f t="array" aca="1" ref="E115" ca="1">_FV(B115,"Price")</f>
        <v>112.74</v>
      </c>
      <c r="F115" s="1" cm="1">
        <f t="array" aca="1" ref="F115" ca="1">_FV(B115,"Change (%)",TRUE)</f>
        <v>3.5642E-2</v>
      </c>
      <c r="G115" s="3" cm="1">
        <f t="array" aca="1" ref="G115" ca="1">_FV(B115,"Market cap",TRUE)</f>
        <v>23925400000</v>
      </c>
    </row>
    <row r="116" spans="1:7" x14ac:dyDescent="0.3">
      <c r="A116" t="s">
        <v>248</v>
      </c>
      <c r="B116" t="e" vm="165">
        <v>#VALUE!</v>
      </c>
      <c r="C116" t="s">
        <v>234</v>
      </c>
      <c r="D116" t="s">
        <v>249</v>
      </c>
      <c r="E116" s="2" cm="1">
        <f t="array" aca="1" ref="E116" ca="1">_FV(B116,"Price")</f>
        <v>50.18</v>
      </c>
      <c r="F116" s="1" cm="1">
        <f t="array" aca="1" ref="F116" ca="1">_FV(B116,"Change (%)",TRUE)</f>
        <v>6.8219999999999999E-3</v>
      </c>
      <c r="G116" s="3" cm="1">
        <f t="array" aca="1" ref="G116" ca="1">_FV(B116,"Market cap",TRUE)</f>
        <v>17506720000</v>
      </c>
    </row>
    <row r="117" spans="1:7" x14ac:dyDescent="0.3">
      <c r="A117" t="s">
        <v>250</v>
      </c>
      <c r="B117" t="e" vm="166">
        <v>#VALUE!</v>
      </c>
      <c r="C117" t="s">
        <v>234</v>
      </c>
      <c r="D117" t="s">
        <v>251</v>
      </c>
      <c r="E117" s="2" cm="1">
        <f t="array" aca="1" ref="E117" ca="1">_FV(B117,"Price")</f>
        <v>37.28</v>
      </c>
      <c r="F117" s="1" cm="1">
        <f t="array" aca="1" ref="F117" ca="1">_FV(B117,"Change (%)",TRUE)</f>
        <v>-1.4799E-2</v>
      </c>
      <c r="G117" s="3" cm="1">
        <f t="array" aca="1" ref="G117" ca="1">_FV(B117,"Market cap",TRUE)</f>
        <v>5416755000</v>
      </c>
    </row>
    <row r="118" spans="1:7" ht="18" x14ac:dyDescent="0.3">
      <c r="A118" t="s">
        <v>252</v>
      </c>
      <c r="B118" t="e" vm="167">
        <v>#VALUE!</v>
      </c>
      <c r="C118" s="6" t="s">
        <v>253</v>
      </c>
      <c r="D118" t="s">
        <v>254</v>
      </c>
      <c r="E118" s="2" cm="1">
        <f t="array" aca="1" ref="E118" ca="1">_FV(B118,"Price")</f>
        <v>503.46</v>
      </c>
      <c r="F118" s="1" cm="1">
        <f t="array" aca="1" ref="F118" ca="1">_FV(B118,"Change (%)",TRUE)</f>
        <v>-2.184E-4</v>
      </c>
      <c r="G118" s="3" cm="1">
        <f t="array" aca="1" ref="G118" ca="1">_FV(B118,"Market cap",TRUE)</f>
        <v>1085760000000</v>
      </c>
    </row>
    <row r="119" spans="1:7" ht="18" x14ac:dyDescent="0.3">
      <c r="A119" t="s">
        <v>255</v>
      </c>
      <c r="B119" t="e" vm="168">
        <v>#VALUE!</v>
      </c>
      <c r="C119" s="6" t="s">
        <v>253</v>
      </c>
      <c r="D119" t="s">
        <v>256</v>
      </c>
      <c r="E119" s="2" cm="1">
        <f t="array" aca="1" ref="E119" ca="1">_FV(B119,"Price")</f>
        <v>222.03</v>
      </c>
      <c r="F119" s="1" cm="1">
        <f t="array" aca="1" ref="F119" ca="1">_FV(B119,"Change (%)",TRUE)</f>
        <v>-7.1549999999999999E-3</v>
      </c>
      <c r="G119" s="3" cm="1">
        <f t="array" aca="1" ref="G119" ca="1">_FV(B119,"Market cap",TRUE)</f>
        <v>142694900000</v>
      </c>
    </row>
    <row r="120" spans="1:7" ht="18" x14ac:dyDescent="0.3">
      <c r="A120" t="s">
        <v>257</v>
      </c>
      <c r="B120" t="e" vm="169">
        <v>#VALUE!</v>
      </c>
      <c r="C120" s="6" t="s">
        <v>253</v>
      </c>
      <c r="D120" t="s">
        <v>258</v>
      </c>
      <c r="E120" s="2" cm="1">
        <f t="array" aca="1" ref="E120" ca="1">_FV(B120,"Price")</f>
        <v>147.62</v>
      </c>
      <c r="F120" s="1" cm="1">
        <f t="array" aca="1" ref="F120" ca="1">_FV(B120,"Change (%)",TRUE)</f>
        <v>-9.5940000000000001E-3</v>
      </c>
      <c r="G120" s="3" cm="1">
        <f t="array" aca="1" ref="G120" ca="1">_FV(B120,"Market cap",TRUE)</f>
        <v>79446340000</v>
      </c>
    </row>
    <row r="121" spans="1:7" ht="18" x14ac:dyDescent="0.3">
      <c r="A121" t="s">
        <v>259</v>
      </c>
      <c r="B121" t="e" vm="170">
        <v>#VALUE!</v>
      </c>
      <c r="C121" s="6" t="s">
        <v>253</v>
      </c>
      <c r="D121" t="s">
        <v>260</v>
      </c>
      <c r="E121" s="2" cm="1">
        <f t="array" aca="1" ref="E121" ca="1">_FV(B121,"Price")</f>
        <v>241.84</v>
      </c>
      <c r="F121" s="1" cm="1">
        <f t="array" aca="1" ref="F121" ca="1">_FV(B121,"Change (%)",TRUE)</f>
        <v>-1.1728000000000001E-2</v>
      </c>
      <c r="G121" s="3" cm="1">
        <f t="array" aca="1" ref="G121" ca="1">_FV(B121,"Market cap",TRUE)</f>
        <v>70859120000</v>
      </c>
    </row>
    <row r="122" spans="1:7" ht="18" x14ac:dyDescent="0.3">
      <c r="A122" t="s">
        <v>261</v>
      </c>
      <c r="B122" t="e" vm="11">
        <v>#VALUE!</v>
      </c>
      <c r="C122" s="6" t="s">
        <v>262</v>
      </c>
      <c r="D122" t="s">
        <v>263</v>
      </c>
      <c r="E122" s="2" cm="1">
        <f t="array" aca="1" ref="E122" ca="1">_FV(B122,"Price")</f>
        <v>47.67</v>
      </c>
      <c r="F122" s="1" cm="1">
        <f t="array" aca="1" ref="F122" ca="1">_FV(B122,"Change (%)",TRUE)</f>
        <v>-1.0339000000000001E-2</v>
      </c>
      <c r="G122" s="3" cm="1">
        <f t="array" aca="1" ref="G122" ca="1">_FV(B122,"Market cap",TRUE)</f>
        <v>25165060000</v>
      </c>
    </row>
    <row r="123" spans="1:7" ht="18" x14ac:dyDescent="0.3">
      <c r="A123" t="s">
        <v>264</v>
      </c>
      <c r="B123" t="e" vm="171">
        <v>#VALUE!</v>
      </c>
      <c r="C123" s="6" t="s">
        <v>262</v>
      </c>
      <c r="D123" t="s">
        <v>265</v>
      </c>
      <c r="E123" s="2" cm="1">
        <f t="array" aca="1" ref="E123" ca="1">_FV(B123,"Price")</f>
        <v>43.74</v>
      </c>
      <c r="F123" s="1" cm="1">
        <f t="array" aca="1" ref="F123" ca="1">_FV(B123,"Change (%)",TRUE)</f>
        <v>-1.6636999999999999E-2</v>
      </c>
      <c r="G123" s="3" cm="1">
        <f t="array" aca="1" ref="G123" ca="1">_FV(B123,"Market cap",TRUE)</f>
        <v>22832830000</v>
      </c>
    </row>
    <row r="124" spans="1:7" ht="18" x14ac:dyDescent="0.3">
      <c r="A124" t="s">
        <v>266</v>
      </c>
      <c r="B124" t="e" vm="172">
        <v>#VALUE!</v>
      </c>
      <c r="C124" s="6" t="s">
        <v>262</v>
      </c>
      <c r="D124" t="s">
        <v>267</v>
      </c>
      <c r="E124" s="2" cm="1">
        <f t="array" aca="1" ref="E124" ca="1">_FV(B124,"Price")</f>
        <v>190.7</v>
      </c>
      <c r="F124" s="1" cm="1">
        <f t="array" aca="1" ref="F124" ca="1">_FV(B124,"Change (%)",TRUE)</f>
        <v>-9.5049999999999996E-3</v>
      </c>
      <c r="G124" s="3" cm="1">
        <f t="array" aca="1" ref="G124" ca="1">_FV(B124,"Market cap",TRUE)</f>
        <v>17159190000</v>
      </c>
    </row>
    <row r="125" spans="1:7" ht="18" x14ac:dyDescent="0.3">
      <c r="A125" t="s">
        <v>268</v>
      </c>
      <c r="B125" t="e" vm="173">
        <v>#VALUE!</v>
      </c>
      <c r="C125" s="6" t="s">
        <v>262</v>
      </c>
      <c r="D125" t="s">
        <v>269</v>
      </c>
      <c r="E125" s="2" cm="1">
        <f t="array" aca="1" ref="E125" ca="1">_FV(B125,"Price")</f>
        <v>51.76</v>
      </c>
      <c r="F125" s="1" cm="1">
        <f t="array" aca="1" ref="F125" ca="1">_FV(B125,"Change (%)",TRUE)</f>
        <v>-2.9256999999999998E-2</v>
      </c>
      <c r="G125" s="3" cm="1">
        <f t="array" aca="1" ref="G125" ca="1">_FV(B125,"Market cap",TRUE)</f>
        <v>14359130000</v>
      </c>
    </row>
    <row r="126" spans="1:7" ht="18" x14ac:dyDescent="0.3">
      <c r="A126" t="s">
        <v>270</v>
      </c>
      <c r="B126" t="e" vm="174">
        <v>#VALUE!</v>
      </c>
      <c r="C126" s="6" t="s">
        <v>262</v>
      </c>
      <c r="D126" t="s">
        <v>271</v>
      </c>
      <c r="E126" s="2" cm="1">
        <f t="array" aca="1" ref="E126" ca="1">_FV(B126,"Price")</f>
        <v>177.55</v>
      </c>
      <c r="F126" s="1" cm="1">
        <f t="array" aca="1" ref="F126" ca="1">_FV(B126,"Change (%)",TRUE)</f>
        <v>-1.5251999999999998E-2</v>
      </c>
      <c r="G126" s="3" cm="1">
        <f t="array" aca="1" ref="G126" ca="1">_FV(B126,"Market cap",TRUE)</f>
        <v>13880070000</v>
      </c>
    </row>
    <row r="127" spans="1:7" ht="18" x14ac:dyDescent="0.3">
      <c r="A127" t="s">
        <v>272</v>
      </c>
      <c r="B127" t="e" vm="175">
        <v>#VALUE!</v>
      </c>
      <c r="C127" s="6" t="s">
        <v>262</v>
      </c>
      <c r="D127" t="s">
        <v>273</v>
      </c>
      <c r="E127" s="2" cm="1">
        <f t="array" aca="1" ref="E127" ca="1">_FV(B127,"Price")</f>
        <v>8.9600000000000009</v>
      </c>
      <c r="F127" s="1" cm="1">
        <f t="array" aca="1" ref="F127" ca="1">_FV(B127,"Change (%)",TRUE)</f>
        <v>-7.7520000000000002E-3</v>
      </c>
      <c r="G127" s="3" cm="1">
        <f t="array" aca="1" ref="G127" ca="1">_FV(B127,"Market cap",TRUE)</f>
        <v>20655880000</v>
      </c>
    </row>
    <row r="128" spans="1:7" ht="18" x14ac:dyDescent="0.3">
      <c r="A128" t="s">
        <v>274</v>
      </c>
      <c r="B128" t="e" vm="176">
        <v>#VALUE!</v>
      </c>
      <c r="C128" s="7" t="s">
        <v>275</v>
      </c>
      <c r="D128" t="s">
        <v>276</v>
      </c>
      <c r="E128" s="2" cm="1">
        <f t="array" aca="1" ref="E128" ca="1">_FV(B128,"Price")</f>
        <v>200.99</v>
      </c>
      <c r="F128" s="9" cm="1">
        <f t="array" aca="1" ref="F128" ca="1">_FV(B128,"Change (%)",TRUE)</f>
        <v>-1.0388999999999999E-2</v>
      </c>
      <c r="G128" s="3" cm="1">
        <f t="array" aca="1" ref="G128" ca="1">_FV(B128,"Market cap",TRUE)</f>
        <v>2133781000000</v>
      </c>
    </row>
    <row r="129" spans="1:7" ht="18" x14ac:dyDescent="0.3">
      <c r="A129" t="s">
        <v>277</v>
      </c>
      <c r="B129" t="e" vm="177">
        <v>#VALUE!</v>
      </c>
      <c r="C129" s="7" t="s">
        <v>275</v>
      </c>
      <c r="D129" t="s">
        <v>278</v>
      </c>
      <c r="E129" s="2" cm="1">
        <f t="array" aca="1" ref="E129" ca="1">_FV(B129,"Price")</f>
        <v>1008.5</v>
      </c>
      <c r="F129" s="9" cm="1">
        <f t="array" aca="1" ref="F129" ca="1">_FV(B129,"Change (%)",TRUE)</f>
        <v>-9.4590000000000004E-3</v>
      </c>
      <c r="G129" s="3" cm="1">
        <f t="array" aca="1" ref="G129" ca="1">_FV(B129,"Market cap",TRUE)</f>
        <v>447454700000</v>
      </c>
    </row>
    <row r="130" spans="1:7" ht="18" x14ac:dyDescent="0.3">
      <c r="A130" t="s">
        <v>279</v>
      </c>
      <c r="B130" t="e" vm="178">
        <v>#VALUE!</v>
      </c>
      <c r="C130" s="7" t="s">
        <v>275</v>
      </c>
      <c r="D130" t="s">
        <v>280</v>
      </c>
      <c r="E130" s="2" cm="1">
        <f t="array" aca="1" ref="E130" ca="1">_FV(B130,"Price")</f>
        <v>125.7</v>
      </c>
      <c r="F130" s="9" cm="1">
        <f t="array" aca="1" ref="F130" ca="1">_FV(B130,"Change (%)",TRUE)</f>
        <v>-2.9943000000000001E-2</v>
      </c>
      <c r="G130" s="3" cm="1">
        <f t="array" aca="1" ref="G130" ca="1">_FV(B130,"Market cap",TRUE)</f>
        <v>140343000000</v>
      </c>
    </row>
    <row r="131" spans="1:7" ht="18" x14ac:dyDescent="0.3">
      <c r="A131" t="s">
        <v>281</v>
      </c>
      <c r="B131" t="e" vm="179">
        <v>#VALUE!</v>
      </c>
      <c r="C131" s="7" t="s">
        <v>275</v>
      </c>
      <c r="D131" t="s">
        <v>282</v>
      </c>
      <c r="E131" s="2" cm="1">
        <f t="array" aca="1" ref="E131" ca="1">_FV(B131,"Price")</f>
        <v>94.29</v>
      </c>
      <c r="F131" s="9" cm="1">
        <f t="array" aca="1" ref="F131" ca="1">_FV(B131,"Change (%)",TRUE)</f>
        <v>-8.1000000000000013E-3</v>
      </c>
      <c r="G131" s="3" cm="1">
        <f t="array" aca="1" ref="G131" ca="1">_FV(B131,"Market cap",TRUE)</f>
        <v>42842060000</v>
      </c>
    </row>
    <row r="132" spans="1:7" ht="18" x14ac:dyDescent="0.3">
      <c r="A132" t="s">
        <v>283</v>
      </c>
      <c r="B132" t="e" vm="180">
        <v>#VALUE!</v>
      </c>
      <c r="C132" s="7" t="s">
        <v>275</v>
      </c>
      <c r="D132" t="s">
        <v>284</v>
      </c>
      <c r="E132" s="2" cm="1">
        <f t="array" aca="1" ref="E132" ca="1">_FV(B132,"Price")</f>
        <v>101.39</v>
      </c>
      <c r="F132" s="9" cm="1">
        <f t="array" aca="1" ref="F132" ca="1">_FV(B132,"Change (%)",TRUE)</f>
        <v>7.4519999999999994E-3</v>
      </c>
      <c r="G132" s="3" cm="1">
        <f t="array" aca="1" ref="G132" ca="1">_FV(B132,"Market cap",TRUE)</f>
        <v>22300430000</v>
      </c>
    </row>
    <row r="133" spans="1:7" ht="18" x14ac:dyDescent="0.3">
      <c r="A133" t="s">
        <v>285</v>
      </c>
      <c r="B133" t="e" vm="181">
        <v>#VALUE!</v>
      </c>
      <c r="C133" s="7" t="s">
        <v>275</v>
      </c>
      <c r="D133" t="s">
        <v>286</v>
      </c>
      <c r="E133" s="2" cm="1">
        <f t="array" aca="1" ref="E133" ca="1">_FV(B133,"Price")</f>
        <v>88.17</v>
      </c>
      <c r="F133" s="9" cm="1">
        <f t="array" aca="1" ref="F133" ca="1">_FV(B133,"Change (%)",TRUE)</f>
        <v>-2.0007E-2</v>
      </c>
      <c r="G133" s="3" cm="1">
        <f t="array" aca="1" ref="G133" ca="1">_FV(B133,"Market cap",TRUE)</f>
        <v>18528730000</v>
      </c>
    </row>
    <row r="134" spans="1:7" ht="18" x14ac:dyDescent="0.3">
      <c r="A134" t="s">
        <v>287</v>
      </c>
      <c r="B134" t="e" vm="9">
        <v>#VALUE!</v>
      </c>
      <c r="C134" s="7" t="s">
        <v>275</v>
      </c>
      <c r="D134" t="s">
        <v>288</v>
      </c>
      <c r="E134" s="2" cm="1">
        <f t="array" aca="1" ref="E134" ca="1">_FV(B134,"Price")</f>
        <v>96.34</v>
      </c>
      <c r="F134" s="9" cm="1">
        <f t="array" aca="1" ref="F134" ca="1">_FV(B134,"Change (%)",TRUE)</f>
        <v>4.274E-3</v>
      </c>
      <c r="G134" s="3" cm="1">
        <f t="array" aca="1" ref="G134" ca="1">_FV(B134,"Market cap",TRUE)</f>
        <v>770805400000</v>
      </c>
    </row>
    <row r="135" spans="1:7" ht="18" x14ac:dyDescent="0.3">
      <c r="A135" t="s">
        <v>289</v>
      </c>
      <c r="B135" t="e" vm="182">
        <v>#VALUE!</v>
      </c>
      <c r="C135" s="7" t="s">
        <v>275</v>
      </c>
      <c r="D135" t="s">
        <v>290</v>
      </c>
      <c r="E135" s="2" cm="1">
        <f t="array" aca="1" ref="E135" ca="1">_FV(B135,"Price")</f>
        <v>68.59</v>
      </c>
      <c r="F135" s="9" cm="1">
        <f t="array" aca="1" ref="F135" ca="1">_FV(B135,"Change (%)",TRUE)</f>
        <v>9.4190000000000003E-3</v>
      </c>
      <c r="G135" s="3" cm="1">
        <f t="array" aca="1" ref="G135" ca="1">_FV(B135,"Market cap",TRUE)</f>
        <v>45670860000</v>
      </c>
    </row>
    <row r="136" spans="1:7" ht="18" x14ac:dyDescent="0.3">
      <c r="A136" t="s">
        <v>291</v>
      </c>
      <c r="B136" t="e" vm="183">
        <v>#VALUE!</v>
      </c>
      <c r="C136" s="7" t="s">
        <v>275</v>
      </c>
      <c r="D136" t="s">
        <v>292</v>
      </c>
      <c r="E136" s="2" cm="1">
        <f t="array" aca="1" ref="E136" ca="1">_FV(B136,"Price")</f>
        <v>71.47</v>
      </c>
      <c r="F136" s="9" cm="1">
        <f t="array" aca="1" ref="F136" ca="1">_FV(B136,"Change (%)",TRUE)</f>
        <v>-7.0850000000000002E-3</v>
      </c>
      <c r="G136" s="3" cm="1">
        <f t="array" aca="1" ref="G136" ca="1">_FV(B136,"Market cap",TRUE)</f>
        <v>34645200000</v>
      </c>
    </row>
    <row r="137" spans="1:7" ht="18" x14ac:dyDescent="0.3">
      <c r="A137" t="s">
        <v>293</v>
      </c>
      <c r="B137" t="e" vm="184">
        <v>#VALUE!</v>
      </c>
      <c r="C137" s="7" t="s">
        <v>275</v>
      </c>
      <c r="D137" t="s">
        <v>294</v>
      </c>
      <c r="E137" s="2" cm="1">
        <f t="array" aca="1" ref="E137" ca="1">_FV(B137,"Price")</f>
        <v>11.17</v>
      </c>
      <c r="F137" s="9" cm="1">
        <f t="array" aca="1" ref="F137" ca="1">_FV(B137,"Change (%)",TRUE)</f>
        <v>-6.228E-3</v>
      </c>
      <c r="G137" s="3" cm="1">
        <f t="array" aca="1" ref="G137" ca="1">_FV(B137,"Market cap",TRUE)</f>
        <v>9659122000</v>
      </c>
    </row>
    <row r="138" spans="1:7" ht="18" x14ac:dyDescent="0.3">
      <c r="A138" t="s">
        <v>295</v>
      </c>
      <c r="B138" t="e" vm="185">
        <v>#VALUE!</v>
      </c>
      <c r="C138" s="7" t="s">
        <v>275</v>
      </c>
      <c r="D138" t="s">
        <v>296</v>
      </c>
      <c r="E138" s="2" cm="1">
        <f t="array" aca="1" ref="E138" ca="1">_FV(B138,"Price")</f>
        <v>362.71</v>
      </c>
      <c r="F138" s="9" cm="1">
        <f t="array" aca="1" ref="F138" ca="1">_FV(B138,"Change (%)",TRUE)</f>
        <v>-9.3410000000000003E-3</v>
      </c>
      <c r="G138" s="3" cm="1">
        <f t="array" aca="1" ref="G138" ca="1">_FV(B138,"Market cap",TRUE)</f>
        <v>360507700000</v>
      </c>
    </row>
    <row r="139" spans="1:7" ht="18" x14ac:dyDescent="0.3">
      <c r="A139" t="s">
        <v>297</v>
      </c>
      <c r="B139" t="e" vm="186">
        <v>#VALUE!</v>
      </c>
      <c r="C139" s="7" t="s">
        <v>275</v>
      </c>
      <c r="D139" t="s">
        <v>298</v>
      </c>
      <c r="E139" s="2" cm="1">
        <f t="array" aca="1" ref="E139" ca="1">_FV(B139,"Price")</f>
        <v>221.07</v>
      </c>
      <c r="F139" s="9" cm="1">
        <f t="array" aca="1" ref="F139" ca="1">_FV(B139,"Change (%)",TRUE)</f>
        <v>-1.1977999999999999E-2</v>
      </c>
      <c r="G139" s="3" cm="1">
        <f t="array" aca="1" ref="G139" ca="1">_FV(B139,"Market cap",TRUE)</f>
        <v>123799200000</v>
      </c>
    </row>
    <row r="140" spans="1:7" ht="18" x14ac:dyDescent="0.3">
      <c r="A140" t="s">
        <v>299</v>
      </c>
      <c r="B140" t="e" vm="187">
        <v>#VALUE!</v>
      </c>
      <c r="C140" s="7" t="s">
        <v>275</v>
      </c>
      <c r="D140" t="s">
        <v>300</v>
      </c>
      <c r="E140" s="2" cm="1">
        <f t="array" aca="1" ref="E140" ca="1">_FV(B140,"Price")</f>
        <v>1374.37</v>
      </c>
      <c r="F140" s="9" cm="1">
        <f t="array" aca="1" ref="F140" ca="1">_FV(B140,"Change (%)",TRUE)</f>
        <v>7.0190000000000001E-3</v>
      </c>
      <c r="G140" s="3" cm="1">
        <f t="array" aca="1" ref="G140" ca="1">_FV(B140,"Market cap",TRUE)</f>
        <v>78324590000</v>
      </c>
    </row>
    <row r="141" spans="1:7" ht="18" x14ac:dyDescent="0.3">
      <c r="A141" t="s">
        <v>301</v>
      </c>
      <c r="B141" t="e" vm="188">
        <v>#VALUE!</v>
      </c>
      <c r="C141" s="7" t="s">
        <v>275</v>
      </c>
      <c r="D141" t="s">
        <v>302</v>
      </c>
      <c r="E141" s="2" cm="1">
        <f t="array" aca="1" ref="E141" ca="1">_FV(B141,"Price")</f>
        <v>3826.46</v>
      </c>
      <c r="F141" s="9" cm="1">
        <f t="array" aca="1" ref="F141" ca="1">_FV(B141,"Change (%)",TRUE)</f>
        <v>-8.4960000000000001E-3</v>
      </c>
      <c r="G141" s="3" cm="1">
        <f t="array" aca="1" ref="G141" ca="1">_FV(B141,"Market cap",TRUE)</f>
        <v>64011540000</v>
      </c>
    </row>
    <row r="142" spans="1:7" ht="18" x14ac:dyDescent="0.3">
      <c r="A142" t="s">
        <v>303</v>
      </c>
      <c r="B142" t="e" vm="189">
        <v>#VALUE!</v>
      </c>
      <c r="C142" s="7" t="s">
        <v>275</v>
      </c>
      <c r="D142" t="s">
        <v>304</v>
      </c>
      <c r="E142" s="2" cm="1">
        <f t="array" aca="1" ref="E142" ca="1">_FV(B142,"Price")</f>
        <v>137.26</v>
      </c>
      <c r="F142" s="9" cm="1">
        <f t="array" aca="1" ref="F142" ca="1">_FV(B142,"Change (%)",TRUE)</f>
        <v>-9.8455999999999988E-2</v>
      </c>
      <c r="G142" s="3" cm="1">
        <f t="array" aca="1" ref="G142" ca="1">_FV(B142,"Market cap",TRUE)</f>
        <v>45135790000</v>
      </c>
    </row>
    <row r="143" spans="1:7" ht="18" x14ac:dyDescent="0.3">
      <c r="A143" t="s">
        <v>305</v>
      </c>
      <c r="B143" t="e" vm="190">
        <v>#VALUE!</v>
      </c>
      <c r="C143" s="7" t="s">
        <v>275</v>
      </c>
      <c r="D143" t="s">
        <v>306</v>
      </c>
      <c r="E143" s="2" cm="1">
        <f t="array" aca="1" ref="E143" ca="1">_FV(B143,"Price")</f>
        <v>49.7</v>
      </c>
      <c r="F143" s="9" cm="1">
        <f t="array" aca="1" ref="F143" ca="1">_FV(B143,"Change (%)",TRUE)</f>
        <v>6.0400000000000004E-4</v>
      </c>
      <c r="G143" s="3" cm="1">
        <f t="array" aca="1" ref="G143" ca="1">_FV(B143,"Market cap",TRUE)</f>
        <v>26351090000</v>
      </c>
    </row>
    <row r="144" spans="1:7" ht="18" x14ac:dyDescent="0.3">
      <c r="A144" t="s">
        <v>307</v>
      </c>
      <c r="B144" t="e" vm="191">
        <v>#VALUE!</v>
      </c>
      <c r="C144" s="7" t="s">
        <v>275</v>
      </c>
      <c r="D144" t="s">
        <v>308</v>
      </c>
      <c r="E144" s="2" cm="1">
        <f t="array" aca="1" ref="E144" ca="1">_FV(B144,"Price")</f>
        <v>1114.1400000000001</v>
      </c>
      <c r="F144" s="9" cm="1">
        <f t="array" aca="1" ref="F144" ca="1">_FV(B144,"Change (%)",TRUE)</f>
        <v>-1.9243E-2</v>
      </c>
      <c r="G144" s="3" cm="1">
        <f t="array" aca="1" ref="G144" ca="1">_FV(B144,"Market cap",TRUE)</f>
        <v>23154930000</v>
      </c>
    </row>
    <row r="145" spans="1:7" ht="18" x14ac:dyDescent="0.3">
      <c r="A145" t="s">
        <v>309</v>
      </c>
      <c r="B145" t="e" vm="192">
        <v>#VALUE!</v>
      </c>
      <c r="C145" s="7" t="s">
        <v>275</v>
      </c>
      <c r="D145" t="s">
        <v>310</v>
      </c>
      <c r="E145" s="2" cm="1">
        <f t="array" aca="1" ref="E145" ca="1">_FV(B145,"Price")</f>
        <v>76.87</v>
      </c>
      <c r="F145" s="9" cm="1">
        <f t="array" aca="1" ref="F145" ca="1">_FV(B145,"Change (%)",TRUE)</f>
        <v>-2.6838999999999998E-2</v>
      </c>
      <c r="G145" s="3" cm="1">
        <f t="array" aca="1" ref="G145" ca="1">_FV(B145,"Market cap",TRUE)</f>
        <v>15965140000</v>
      </c>
    </row>
    <row r="146" spans="1:7" ht="18" x14ac:dyDescent="0.3">
      <c r="A146" t="s">
        <v>311</v>
      </c>
      <c r="B146" t="e" vm="193">
        <v>#VALUE!</v>
      </c>
      <c r="C146" s="7" t="s">
        <v>275</v>
      </c>
      <c r="D146" t="s">
        <v>312</v>
      </c>
      <c r="E146" s="2" cm="1">
        <f t="array" aca="1" ref="E146" ca="1">_FV(B146,"Price")</f>
        <v>407.04</v>
      </c>
      <c r="F146" s="9" cm="1">
        <f t="array" aca="1" ref="F146" ca="1">_FV(B146,"Change (%)",TRUE)</f>
        <v>-8.1630000000000001E-3</v>
      </c>
      <c r="G146" s="3" cm="1">
        <f t="array" aca="1" ref="G146" ca="1">_FV(B146,"Market cap",TRUE)</f>
        <v>18376990000</v>
      </c>
    </row>
    <row r="147" spans="1:7" ht="18" x14ac:dyDescent="0.3">
      <c r="A147" t="s">
        <v>313</v>
      </c>
      <c r="B147" t="e" vm="194">
        <v>#VALUE!</v>
      </c>
      <c r="C147" s="7" t="s">
        <v>275</v>
      </c>
      <c r="D147" t="s">
        <v>314</v>
      </c>
      <c r="E147" s="2" cm="1">
        <f t="array" aca="1" ref="E147" ca="1">_FV(B147,"Price")</f>
        <v>69.92</v>
      </c>
      <c r="F147" s="9" cm="1">
        <f t="array" aca="1" ref="F147" ca="1">_FV(B147,"Change (%)",TRUE)</f>
        <v>-1.1871E-2</v>
      </c>
      <c r="G147" s="3" cm="1">
        <f t="array" aca="1" ref="G147" ca="1">_FV(B147,"Market cap",TRUE)</f>
        <v>14801050000</v>
      </c>
    </row>
    <row r="148" spans="1:7" ht="18" x14ac:dyDescent="0.3">
      <c r="A148" t="s">
        <v>315</v>
      </c>
      <c r="B148" t="e" vm="195">
        <v>#VALUE!</v>
      </c>
      <c r="C148" s="7" t="s">
        <v>275</v>
      </c>
      <c r="D148" t="s">
        <v>316</v>
      </c>
      <c r="E148" s="2" cm="1">
        <f t="array" aca="1" ref="E148" ca="1">_FV(B148,"Price")</f>
        <v>62.27</v>
      </c>
      <c r="F148" s="9" cm="1">
        <f t="array" aca="1" ref="F148" ca="1">_FV(B148,"Change (%)",TRUE)</f>
        <v>-1.5026999999999999E-2</v>
      </c>
      <c r="G148" s="3" cm="1">
        <f t="array" aca="1" ref="G148" ca="1">_FV(B148,"Market cap",TRUE)</f>
        <v>9485881000</v>
      </c>
    </row>
    <row r="149" spans="1:7" ht="18" x14ac:dyDescent="0.3">
      <c r="A149" t="s">
        <v>317</v>
      </c>
      <c r="B149" t="e" vm="196">
        <v>#VALUE!</v>
      </c>
      <c r="C149" s="7" t="s">
        <v>275</v>
      </c>
      <c r="D149" t="s">
        <v>318</v>
      </c>
      <c r="E149" s="2" cm="1">
        <f t="array" aca="1" ref="E149" ca="1">_FV(B149,"Price")</f>
        <v>101.1</v>
      </c>
      <c r="F149" s="9" cm="1">
        <f t="array" aca="1" ref="F149" ca="1">_FV(B149,"Change (%)",TRUE)</f>
        <v>-1.1923E-2</v>
      </c>
      <c r="G149" s="3" cm="1">
        <f t="array" aca="1" ref="G149" ca="1">_FV(B149,"Market cap",TRUE)</f>
        <v>6321247000</v>
      </c>
    </row>
    <row r="150" spans="1:7" ht="18" x14ac:dyDescent="0.3">
      <c r="A150" t="s">
        <v>319</v>
      </c>
      <c r="B150" t="e" vm="197">
        <v>#VALUE!</v>
      </c>
      <c r="C150" s="7" t="s">
        <v>320</v>
      </c>
      <c r="D150" t="s">
        <v>321</v>
      </c>
      <c r="E150" s="2" cm="1">
        <f t="array" aca="1" ref="E150" ca="1">_FV(B150,"Price")</f>
        <v>67.760000000000005</v>
      </c>
      <c r="F150" s="1" cm="1">
        <f t="array" aca="1" ref="F150" ca="1">_FV(B150,"Change (%)",TRUE)</f>
        <v>1.225E-2</v>
      </c>
      <c r="G150" s="3" cm="1">
        <f t="array" aca="1" ref="G150" ca="1">_FV(B150,"Market cap",TRUE)</f>
        <v>139492800000</v>
      </c>
    </row>
    <row r="151" spans="1:7" ht="18" x14ac:dyDescent="0.3">
      <c r="A151" t="s">
        <v>322</v>
      </c>
      <c r="B151" t="e" vm="198">
        <v>#VALUE!</v>
      </c>
      <c r="C151" s="7" t="s">
        <v>320</v>
      </c>
      <c r="D151" t="s">
        <v>323</v>
      </c>
      <c r="E151" s="2" cm="1">
        <f t="array" aca="1" ref="E151" ca="1">_FV(B151,"Price")</f>
        <v>89.64</v>
      </c>
      <c r="F151" s="1" cm="1">
        <f t="array" aca="1" ref="F151" ca="1">_FV(B151,"Change (%)",TRUE)</f>
        <v>9.0049999999999991E-3</v>
      </c>
      <c r="G151" s="3" cm="1">
        <f t="array" aca="1" ref="G151" ca="1">_FV(B151,"Market cap",TRUE)</f>
        <v>98519300000</v>
      </c>
    </row>
    <row r="152" spans="1:7" ht="18" x14ac:dyDescent="0.3">
      <c r="A152" t="s">
        <v>324</v>
      </c>
      <c r="B152" t="e" vm="199">
        <v>#VALUE!</v>
      </c>
      <c r="C152" s="7" t="s">
        <v>320</v>
      </c>
      <c r="D152" t="s">
        <v>325</v>
      </c>
      <c r="E152" s="2" cm="1">
        <f t="array" aca="1" ref="E152" ca="1">_FV(B152,"Price")</f>
        <v>116.49</v>
      </c>
      <c r="F152" s="1" cm="1">
        <f t="array" aca="1" ref="F152" ca="1">_FV(B152,"Change (%)",TRUE)</f>
        <v>7.9610000000000011E-3</v>
      </c>
      <c r="G152" s="3" cm="1">
        <f t="array" aca="1" ref="G152" ca="1">_FV(B152,"Market cap",TRUE)</f>
        <v>90542680000</v>
      </c>
    </row>
    <row r="153" spans="1:7" ht="18" x14ac:dyDescent="0.3">
      <c r="A153" t="s">
        <v>326</v>
      </c>
      <c r="B153" t="e" vm="200">
        <v>#VALUE!</v>
      </c>
      <c r="C153" s="7" t="s">
        <v>320</v>
      </c>
      <c r="D153" t="s">
        <v>327</v>
      </c>
      <c r="E153" s="2" cm="1">
        <f t="array" aca="1" ref="E153" ca="1">_FV(B153,"Price")</f>
        <v>464.39</v>
      </c>
      <c r="F153" s="1" cm="1">
        <f t="array" aca="1" ref="F153" ca="1">_FV(B153,"Change (%)",TRUE)</f>
        <v>1.214E-2</v>
      </c>
      <c r="G153" s="3" cm="1">
        <f t="array" aca="1" ref="G153" ca="1">_FV(B153,"Market cap",TRUE)</f>
        <v>126748200000</v>
      </c>
    </row>
    <row r="154" spans="1:7" ht="18" x14ac:dyDescent="0.3">
      <c r="A154" t="s">
        <v>328</v>
      </c>
      <c r="B154" t="e" vm="201">
        <v>#VALUE!</v>
      </c>
      <c r="C154" s="7" t="s">
        <v>320</v>
      </c>
      <c r="D154" t="s">
        <v>329</v>
      </c>
      <c r="E154" s="2" cm="1">
        <f t="array" aca="1" ref="E154" ca="1">_FV(B154,"Price")</f>
        <v>297.49</v>
      </c>
      <c r="F154" s="1" cm="1">
        <f t="array" aca="1" ref="F154" ca="1">_FV(B154,"Change (%)",TRUE)</f>
        <v>2.0653999999999999E-2</v>
      </c>
      <c r="G154" s="3" cm="1">
        <f t="array" aca="1" ref="G154" ca="1">_FV(B154,"Market cap",TRUE)</f>
        <v>93238530000</v>
      </c>
    </row>
    <row r="155" spans="1:7" ht="18" x14ac:dyDescent="0.3">
      <c r="A155" t="s">
        <v>330</v>
      </c>
      <c r="B155" t="e" vm="202">
        <v>#VALUE!</v>
      </c>
      <c r="C155" s="7" t="s">
        <v>320</v>
      </c>
      <c r="D155" t="s">
        <v>331</v>
      </c>
      <c r="E155" s="2" cm="1">
        <f t="array" aca="1" ref="E155" ca="1">_FV(B155,"Price")</f>
        <v>102.88</v>
      </c>
      <c r="F155" s="1" cm="1">
        <f t="array" aca="1" ref="F155" ca="1">_FV(B155,"Change (%)",TRUE)</f>
        <v>1.0609E-2</v>
      </c>
      <c r="G155" s="3" cm="1">
        <f t="array" aca="1" ref="G155" ca="1">_FV(B155,"Market cap",TRUE)</f>
        <v>54936650000</v>
      </c>
    </row>
    <row r="156" spans="1:7" ht="18" x14ac:dyDescent="0.3">
      <c r="A156" t="s">
        <v>332</v>
      </c>
      <c r="B156" t="e" vm="203">
        <v>#VALUE!</v>
      </c>
      <c r="C156" s="7" t="s">
        <v>320</v>
      </c>
      <c r="D156" t="s">
        <v>333</v>
      </c>
      <c r="E156" s="2" cm="1">
        <f t="array" aca="1" ref="E156" ca="1">_FV(B156,"Price")</f>
        <v>56.29</v>
      </c>
      <c r="F156" s="1" cm="1">
        <f t="array" aca="1" ref="F156" ca="1">_FV(B156,"Change (%)",TRUE)</f>
        <v>1.1318999999999999E-2</v>
      </c>
      <c r="G156" s="3" cm="1">
        <f t="array" aca="1" ref="G156" ca="1">_FV(B156,"Market cap",TRUE)</f>
        <v>47971190000</v>
      </c>
    </row>
    <row r="157" spans="1:7" ht="18" x14ac:dyDescent="0.3">
      <c r="A157" t="s">
        <v>334</v>
      </c>
      <c r="B157" t="e" vm="204">
        <v>#VALUE!</v>
      </c>
      <c r="C157" s="7" t="s">
        <v>320</v>
      </c>
      <c r="D157" t="s">
        <v>335</v>
      </c>
      <c r="E157" s="2" cm="1">
        <f t="array" aca="1" ref="E157" ca="1">_FV(B157,"Price")</f>
        <v>43.67</v>
      </c>
      <c r="F157" s="1" cm="1">
        <f t="array" aca="1" ref="F157" ca="1">_FV(B157,"Change (%)",TRUE)</f>
        <v>5.7580000000000001E-3</v>
      </c>
      <c r="G157" s="3" cm="1">
        <f t="array" aca="1" ref="G157" ca="1">_FV(B157,"Market cap",TRUE)</f>
        <v>44086420000</v>
      </c>
    </row>
    <row r="158" spans="1:7" ht="18" x14ac:dyDescent="0.3">
      <c r="A158" t="s">
        <v>336</v>
      </c>
      <c r="B158" t="e" vm="205">
        <v>#VALUE!</v>
      </c>
      <c r="C158" s="7" t="s">
        <v>320</v>
      </c>
      <c r="D158" t="s">
        <v>337</v>
      </c>
      <c r="E158" s="2" cm="1">
        <f t="array" aca="1" ref="E158" ca="1">_FV(B158,"Price")</f>
        <v>158.16</v>
      </c>
      <c r="F158" s="1" cm="1">
        <f t="array" aca="1" ref="F158" ca="1">_FV(B158,"Change (%)",TRUE)</f>
        <v>2.2233999999999997E-2</v>
      </c>
      <c r="G158" s="3" cm="1">
        <f t="array" aca="1" ref="G158" ca="1">_FV(B158,"Market cap",TRUE)</f>
        <v>53668740000</v>
      </c>
    </row>
    <row r="159" spans="1:7" ht="18" x14ac:dyDescent="0.3">
      <c r="A159" t="s">
        <v>338</v>
      </c>
      <c r="B159" t="e" vm="206">
        <v>#VALUE!</v>
      </c>
      <c r="C159" s="7" t="s">
        <v>320</v>
      </c>
      <c r="D159" t="s">
        <v>339</v>
      </c>
      <c r="E159" s="2" cm="1">
        <f t="array" aca="1" ref="E159" ca="1">_FV(B159,"Price")</f>
        <v>69.73</v>
      </c>
      <c r="F159" s="1" cm="1">
        <f t="array" aca="1" ref="F159" ca="1">_FV(B159,"Change (%)",TRUE)</f>
        <v>7.5129999999999997E-3</v>
      </c>
      <c r="G159" s="3" cm="1">
        <f t="array" aca="1" ref="G159" ca="1">_FV(B159,"Market cap",TRUE)</f>
        <v>40217520000</v>
      </c>
    </row>
    <row r="160" spans="1:7" ht="18" x14ac:dyDescent="0.3">
      <c r="A160" t="s">
        <v>340</v>
      </c>
      <c r="B160" t="e" vm="207">
        <v>#VALUE!</v>
      </c>
      <c r="C160" s="7" t="s">
        <v>320</v>
      </c>
      <c r="D160" t="s">
        <v>341</v>
      </c>
      <c r="E160" s="2" cm="1">
        <f t="array" aca="1" ref="E160" ca="1">_FV(B160,"Price")</f>
        <v>17.05</v>
      </c>
      <c r="F160" s="1" cm="1">
        <f t="array" aca="1" ref="F160" ca="1">_FV(B160,"Change (%)",TRUE)</f>
        <v>1.763E-3</v>
      </c>
      <c r="G160" s="3" cm="1">
        <f t="array" aca="1" ref="G160" ca="1">_FV(B160,"Market cap",TRUE)</f>
        <v>37470510000</v>
      </c>
    </row>
    <row r="161" spans="1:7" ht="18" x14ac:dyDescent="0.3">
      <c r="A161" t="s">
        <v>342</v>
      </c>
      <c r="B161" t="e" vm="208">
        <v>#VALUE!</v>
      </c>
      <c r="C161" s="7" t="s">
        <v>320</v>
      </c>
      <c r="D161" t="s">
        <v>343</v>
      </c>
      <c r="E161" s="2" cm="1">
        <f t="array" aca="1" ref="E161" ca="1">_FV(B161,"Price")</f>
        <v>104.1</v>
      </c>
      <c r="F161" s="1" cm="1">
        <f t="array" aca="1" ref="F161" ca="1">_FV(B161,"Change (%)",TRUE)</f>
        <v>6.5750000000000001E-3</v>
      </c>
      <c r="G161" s="3" cm="1">
        <f t="array" aca="1" ref="G161" ca="1">_FV(B161,"Market cap",TRUE)</f>
        <v>37506830000</v>
      </c>
    </row>
    <row r="162" spans="1:7" ht="18" x14ac:dyDescent="0.3">
      <c r="A162" t="s">
        <v>344</v>
      </c>
      <c r="B162" t="e" vm="209">
        <v>#VALUE!</v>
      </c>
      <c r="C162" s="7" t="s">
        <v>320</v>
      </c>
      <c r="D162" t="s">
        <v>345</v>
      </c>
      <c r="E162" s="2" cm="1">
        <f t="array" aca="1" ref="E162" ca="1">_FV(B162,"Price")</f>
        <v>82.82</v>
      </c>
      <c r="F162" s="1" cm="1">
        <f t="array" aca="1" ref="F162" ca="1">_FV(B162,"Change (%)",TRUE)</f>
        <v>1.8947000000000002E-2</v>
      </c>
      <c r="G162" s="3" cm="1">
        <f t="array" aca="1" ref="G162" ca="1">_FV(B162,"Market cap",TRUE)</f>
        <v>36965430000</v>
      </c>
    </row>
    <row r="163" spans="1:7" ht="18" x14ac:dyDescent="0.3">
      <c r="A163" t="s">
        <v>346</v>
      </c>
      <c r="B163" t="e" vm="210">
        <v>#VALUE!</v>
      </c>
      <c r="C163" s="7" t="s">
        <v>320</v>
      </c>
      <c r="D163" t="s">
        <v>347</v>
      </c>
      <c r="E163" s="2" cm="1">
        <f t="array" aca="1" ref="E163" ca="1">_FV(B163,"Price")</f>
        <v>106.78</v>
      </c>
      <c r="F163" s="1" cm="1">
        <f t="array" aca="1" ref="F163" ca="1">_FV(B163,"Change (%)",TRUE)</f>
        <v>1.2229E-2</v>
      </c>
      <c r="G163" s="3" cm="1">
        <f t="array" aca="1" ref="G163" ca="1">_FV(B163,"Market cap",TRUE)</f>
        <v>34077070000</v>
      </c>
    </row>
    <row r="164" spans="1:7" ht="18" x14ac:dyDescent="0.3">
      <c r="A164" t="s">
        <v>348</v>
      </c>
      <c r="B164" t="e" vm="211">
        <v>#VALUE!</v>
      </c>
      <c r="C164" s="7" t="s">
        <v>320</v>
      </c>
      <c r="D164" t="s">
        <v>349</v>
      </c>
      <c r="E164" s="2" cm="1">
        <f t="array" aca="1" ref="E164" ca="1">_FV(B164,"Price")</f>
        <v>136.32</v>
      </c>
      <c r="F164" s="1" cm="1">
        <f t="array" aca="1" ref="F164" ca="1">_FV(B164,"Change (%)",TRUE)</f>
        <v>1.2627999999999999E-2</v>
      </c>
      <c r="G164" s="3" cm="1">
        <f t="array" aca="1" ref="G164" ca="1">_FV(B164,"Market cap",TRUE)</f>
        <v>28288540000</v>
      </c>
    </row>
    <row r="165" spans="1:7" ht="18" x14ac:dyDescent="0.3">
      <c r="A165" t="s">
        <v>350</v>
      </c>
      <c r="B165" t="e" vm="212">
        <v>#VALUE!</v>
      </c>
      <c r="C165" s="7" t="s">
        <v>320</v>
      </c>
      <c r="D165" t="s">
        <v>351</v>
      </c>
      <c r="E165" s="2" cm="1">
        <f t="array" aca="1" ref="E165" ca="1">_FV(B165,"Price")</f>
        <v>63.46</v>
      </c>
      <c r="F165" s="1" cm="1">
        <f t="array" aca="1" ref="F165" ca="1">_FV(B165,"Change (%)",TRUE)</f>
        <v>6.3429999999999997E-3</v>
      </c>
      <c r="G165" s="3" cm="1">
        <f t="array" aca="1" ref="G165" ca="1">_FV(B165,"Market cap",TRUE)</f>
        <v>23314240000</v>
      </c>
    </row>
    <row r="166" spans="1:7" ht="18" x14ac:dyDescent="0.3">
      <c r="A166" t="s">
        <v>352</v>
      </c>
      <c r="B166" t="e" vm="213">
        <v>#VALUE!</v>
      </c>
      <c r="C166" s="7" t="s">
        <v>320</v>
      </c>
      <c r="D166" t="s">
        <v>353</v>
      </c>
      <c r="E166" s="2" cm="1">
        <f t="array" aca="1" ref="E166" ca="1">_FV(B166,"Price")</f>
        <v>56.64</v>
      </c>
      <c r="F166" s="1" cm="1">
        <f t="array" aca="1" ref="F166" ca="1">_FV(B166,"Change (%)",TRUE)</f>
        <v>7.4710000000000002E-3</v>
      </c>
      <c r="G166" s="3" cm="1">
        <f t="array" aca="1" ref="G166" ca="1">_FV(B166,"Market cap",TRUE)</f>
        <v>21793010000</v>
      </c>
    </row>
    <row r="167" spans="1:7" ht="18" x14ac:dyDescent="0.3">
      <c r="A167" t="s">
        <v>354</v>
      </c>
      <c r="B167" t="e" vm="214">
        <v>#VALUE!</v>
      </c>
      <c r="C167" s="7" t="s">
        <v>320</v>
      </c>
      <c r="D167" t="s">
        <v>355</v>
      </c>
      <c r="E167" s="2" cm="1">
        <f t="array" aca="1" ref="E167" ca="1">_FV(B167,"Price")</f>
        <v>42.11</v>
      </c>
      <c r="F167" s="1" cm="1">
        <f t="array" aca="1" ref="F167" ca="1">_FV(B167,"Change (%)",TRUE)</f>
        <v>2.8579999999999999E-3</v>
      </c>
      <c r="G167" s="3" cm="1">
        <f t="array" aca="1" ref="G167" ca="1">_FV(B167,"Market cap",TRUE)</f>
        <v>24304050000</v>
      </c>
    </row>
    <row r="168" spans="1:7" ht="18" x14ac:dyDescent="0.3">
      <c r="A168" t="s">
        <v>356</v>
      </c>
      <c r="B168" t="e" vm="215">
        <v>#VALUE!</v>
      </c>
      <c r="C168" s="7" t="s">
        <v>320</v>
      </c>
      <c r="D168" t="s">
        <v>357</v>
      </c>
      <c r="E168" s="2" cm="1">
        <f t="array" aca="1" ref="E168" ca="1">_FV(B168,"Price")</f>
        <v>157.82</v>
      </c>
      <c r="F168" s="1" cm="1">
        <f t="array" aca="1" ref="F168" ca="1">_FV(B168,"Change (%)",TRUE)</f>
        <v>1.6292000000000001E-2</v>
      </c>
      <c r="G168" s="3" cm="1">
        <f t="array" aca="1" ref="G168" ca="1">_FV(B168,"Market cap",TRUE)</f>
        <v>30855460000</v>
      </c>
    </row>
    <row r="169" spans="1:7" ht="18" x14ac:dyDescent="0.3">
      <c r="A169" t="s">
        <v>358</v>
      </c>
      <c r="B169" t="e" vm="216">
        <v>#VALUE!</v>
      </c>
      <c r="C169" s="7" t="s">
        <v>320</v>
      </c>
      <c r="D169" t="s">
        <v>359</v>
      </c>
      <c r="E169" s="2" cm="1">
        <f t="array" aca="1" ref="E169" ca="1">_FV(B169,"Price")</f>
        <v>61.72</v>
      </c>
      <c r="F169" s="1" cm="1">
        <f t="array" aca="1" ref="F169" ca="1">_FV(B169,"Change (%)",TRUE)</f>
        <v>8.3320000000000009E-3</v>
      </c>
      <c r="G169" s="3" cm="1">
        <f t="array" aca="1" ref="G169" ca="1">_FV(B169,"Market cap",TRUE)</f>
        <v>15854410000</v>
      </c>
    </row>
    <row r="170" spans="1:7" ht="18" x14ac:dyDescent="0.3">
      <c r="A170" t="s">
        <v>360</v>
      </c>
      <c r="B170" t="e" vm="217">
        <v>#VALUE!</v>
      </c>
      <c r="C170" s="7" t="s">
        <v>320</v>
      </c>
      <c r="D170" t="s">
        <v>361</v>
      </c>
      <c r="E170" s="2" cm="1">
        <f t="array" aca="1" ref="E170" ca="1">_FV(B170,"Price")</f>
        <v>65.8</v>
      </c>
      <c r="F170" s="1" cm="1">
        <f t="array" aca="1" ref="F170" ca="1">_FV(B170,"Change (%)",TRUE)</f>
        <v>8.3829999999999998E-3</v>
      </c>
      <c r="G170" s="3" cm="1">
        <f t="array" aca="1" ref="G170" ca="1">_FV(B170,"Market cap",TRUE)</f>
        <v>15139970000</v>
      </c>
    </row>
    <row r="171" spans="1:7" ht="18" x14ac:dyDescent="0.3">
      <c r="A171" t="s">
        <v>362</v>
      </c>
      <c r="B171" t="e" vm="218">
        <v>#VALUE!</v>
      </c>
      <c r="C171" s="7" t="s">
        <v>320</v>
      </c>
      <c r="D171" t="s">
        <v>363</v>
      </c>
      <c r="E171" s="2" cm="1">
        <f t="array" aca="1" ref="E171" ca="1">_FV(B171,"Price")</f>
        <v>90.75</v>
      </c>
      <c r="F171" s="1" cm="1">
        <f t="array" aca="1" ref="F171" ca="1">_FV(B171,"Change (%)",TRUE)</f>
        <v>9.5669999999999991E-3</v>
      </c>
      <c r="G171" s="3" cm="1">
        <f t="array" aca="1" ref="G171" ca="1">_FV(B171,"Market cap",TRUE)</f>
        <v>10835460000</v>
      </c>
    </row>
    <row r="172" spans="1:7" ht="18" x14ac:dyDescent="0.3">
      <c r="A172" t="s">
        <v>364</v>
      </c>
      <c r="B172" t="e" vm="219">
        <v>#VALUE!</v>
      </c>
      <c r="C172" s="7" t="s">
        <v>320</v>
      </c>
      <c r="D172" t="s">
        <v>365</v>
      </c>
      <c r="E172" s="2" cm="1">
        <f t="array" aca="1" ref="E172" ca="1">_FV(B172,"Price")</f>
        <v>9.99</v>
      </c>
      <c r="F172" s="1" cm="1">
        <f t="array" aca="1" ref="F172" ca="1">_FV(B172,"Change (%)",TRUE)</f>
        <v>3.7383E-2</v>
      </c>
      <c r="G172" s="3" cm="1">
        <f t="array" aca="1" ref="G172" ca="1">_FV(B172,"Market cap",TRUE)</f>
        <v>7111961000</v>
      </c>
    </row>
    <row r="173" spans="1:7" ht="18" x14ac:dyDescent="0.3">
      <c r="A173" t="s">
        <v>366</v>
      </c>
      <c r="B173" t="e" vm="220">
        <v>#VALUE!</v>
      </c>
      <c r="C173" s="7" t="s">
        <v>320</v>
      </c>
      <c r="D173" t="s">
        <v>367</v>
      </c>
      <c r="E173" s="2" cm="1">
        <f t="array" aca="1" ref="E173" ca="1">_FV(B173,"Price")</f>
        <v>85.55</v>
      </c>
      <c r="F173" s="1" cm="1">
        <f t="array" aca="1" ref="F173" ca="1">_FV(B173,"Change (%)",TRUE)</f>
        <v>3.4009999999999999E-3</v>
      </c>
      <c r="G173" s="3" cm="1">
        <f t="array" aca="1" ref="G173" ca="1">_FV(B173,"Market cap",TRUE)</f>
        <v>103481200000</v>
      </c>
    </row>
    <row r="174" spans="1:7" ht="18" x14ac:dyDescent="0.3">
      <c r="A174" t="s">
        <v>368</v>
      </c>
      <c r="B174" t="e" vm="221">
        <v>#VALUE!</v>
      </c>
      <c r="C174" s="7" t="s">
        <v>320</v>
      </c>
      <c r="D174" t="s">
        <v>369</v>
      </c>
      <c r="E174" s="2" cm="1">
        <f t="array" aca="1" ref="E174" ca="1">_FV(B174,"Price")</f>
        <v>157.56</v>
      </c>
      <c r="F174" s="1" cm="1">
        <f t="array" aca="1" ref="F174" ca="1">_FV(B174,"Change (%)",TRUE)</f>
        <v>-8.4950000000000008E-3</v>
      </c>
      <c r="G174" s="3" cm="1">
        <f t="array" aca="1" ref="G174" ca="1">_FV(B174,"Market cap",TRUE)</f>
        <v>46723870000</v>
      </c>
    </row>
    <row r="175" spans="1:7" ht="18" x14ac:dyDescent="0.3">
      <c r="A175" t="s">
        <v>370</v>
      </c>
      <c r="B175" t="e" vm="222">
        <v>#VALUE!</v>
      </c>
      <c r="C175" s="7" t="s">
        <v>320</v>
      </c>
      <c r="D175" t="s">
        <v>371</v>
      </c>
      <c r="E175" s="2" cm="1">
        <f t="array" aca="1" ref="E175" ca="1">_FV(B175,"Price")</f>
        <v>48.36</v>
      </c>
      <c r="F175" s="1" cm="1">
        <f t="array" aca="1" ref="F175" ca="1">_FV(B175,"Change (%)",TRUE)</f>
        <v>-3.9129999999999998E-3</v>
      </c>
      <c r="G175" s="3" cm="1">
        <f t="array" aca="1" ref="G175" ca="1">_FV(B175,"Market cap",TRUE)</f>
        <v>41418960000</v>
      </c>
    </row>
    <row r="176" spans="1:7" ht="18" x14ac:dyDescent="0.3">
      <c r="A176" t="s">
        <v>372</v>
      </c>
      <c r="B176" t="e" vm="223">
        <v>#VALUE!</v>
      </c>
      <c r="C176" s="7" t="s">
        <v>320</v>
      </c>
      <c r="D176" t="s">
        <v>373</v>
      </c>
      <c r="E176" s="2" cm="1">
        <f t="array" aca="1" ref="E176" ca="1">_FV(B176,"Price")</f>
        <v>160.03</v>
      </c>
      <c r="F176" s="1" cm="1">
        <f t="array" aca="1" ref="F176" ca="1">_FV(B176,"Change (%)",TRUE)</f>
        <v>-1.0572999999999999E-2</v>
      </c>
      <c r="G176" s="3" cm="1">
        <f t="array" aca="1" ref="G176" ca="1">_FV(B176,"Market cap",TRUE)</f>
        <v>27541160000</v>
      </c>
    </row>
    <row r="177" spans="1:7" ht="18" x14ac:dyDescent="0.3">
      <c r="A177" t="s">
        <v>374</v>
      </c>
      <c r="B177" t="e" vm="224">
        <v>#VALUE!</v>
      </c>
      <c r="C177" s="7" t="s">
        <v>320</v>
      </c>
      <c r="D177" t="s">
        <v>375</v>
      </c>
      <c r="E177" s="2" cm="1">
        <f t="array" aca="1" ref="E177" ca="1">_FV(B177,"Price")</f>
        <v>486.22</v>
      </c>
      <c r="F177" s="1" cm="1">
        <f t="array" aca="1" ref="F177" ca="1">_FV(B177,"Change (%)",TRUE)</f>
        <v>-3.7290000000000001E-3</v>
      </c>
      <c r="G177" s="3" cm="1">
        <f t="array" aca="1" ref="G177" ca="1">_FV(B177,"Market cap",TRUE)</f>
        <v>22783950000</v>
      </c>
    </row>
    <row r="178" spans="1:7" ht="18" x14ac:dyDescent="0.3">
      <c r="A178" t="s">
        <v>376</v>
      </c>
      <c r="B178" t="e" vm="225">
        <v>#VALUE!</v>
      </c>
      <c r="C178" s="7" t="s">
        <v>320</v>
      </c>
      <c r="D178" t="s">
        <v>377</v>
      </c>
      <c r="E178" s="2" cm="1">
        <f t="array" aca="1" ref="E178" ca="1">_FV(B178,"Price")</f>
        <v>165.38</v>
      </c>
      <c r="F178" s="1" cm="1">
        <f t="array" aca="1" ref="F178" ca="1">_FV(B178,"Change (%)",TRUE)</f>
        <v>1.696E-3</v>
      </c>
      <c r="G178" s="3" cm="1">
        <f t="array" aca="1" ref="G178" ca="1">_FV(B178,"Market cap",TRUE)</f>
        <v>17752770000</v>
      </c>
    </row>
    <row r="179" spans="1:7" ht="18" x14ac:dyDescent="0.3">
      <c r="A179" t="s">
        <v>378</v>
      </c>
      <c r="B179" t="e" vm="226">
        <v>#VALUE!</v>
      </c>
      <c r="C179" s="7" t="s">
        <v>320</v>
      </c>
      <c r="D179" t="s">
        <v>379</v>
      </c>
      <c r="E179" s="2" cm="1">
        <f t="array" aca="1" ref="E179" ca="1">_FV(B179,"Price")</f>
        <v>284.20999999999998</v>
      </c>
      <c r="F179" s="1" cm="1">
        <f t="array" aca="1" ref="F179" ca="1">_FV(B179,"Change (%)",TRUE)</f>
        <v>-1.4392E-2</v>
      </c>
      <c r="G179" s="3" cm="1">
        <f t="array" aca="1" ref="G179" ca="1">_FV(B179,"Market cap",TRUE)</f>
        <v>14453310000</v>
      </c>
    </row>
    <row r="180" spans="1:7" x14ac:dyDescent="0.3">
      <c r="A180" t="s">
        <v>380</v>
      </c>
      <c r="B180" t="e" vm="227">
        <v>#VALUE!</v>
      </c>
      <c r="C180" t="s">
        <v>381</v>
      </c>
      <c r="D180" t="s">
        <v>382</v>
      </c>
      <c r="E180" s="2" cm="1">
        <f t="array" aca="1" ref="E180" ca="1">_FV(B180,"Price")</f>
        <v>178.19</v>
      </c>
      <c r="F180" s="1" cm="1">
        <f t="array" aca="1" ref="F180" ca="1">_FV(B180,"Change (%)",TRUE)</f>
        <v>1.6892000000000001E-2</v>
      </c>
      <c r="G180" s="3" cm="1">
        <f t="array" aca="1" ref="G180" ca="1">_FV(B180,"Market cap",TRUE)</f>
        <v>277355800000</v>
      </c>
    </row>
    <row r="181" spans="1:7" x14ac:dyDescent="0.3">
      <c r="A181" t="s">
        <v>383</v>
      </c>
      <c r="B181" t="e" vm="228">
        <v>#VALUE!</v>
      </c>
      <c r="C181" t="s">
        <v>381</v>
      </c>
      <c r="D181" t="s">
        <v>384</v>
      </c>
      <c r="E181" s="2" cm="1">
        <f t="array" aca="1" ref="E181" ca="1">_FV(B181,"Price")</f>
        <v>59.74</v>
      </c>
      <c r="F181" s="1" cm="1">
        <f t="array" aca="1" ref="F181" ca="1">_FV(B181,"Change (%)",TRUE)</f>
        <v>7.4199999999999995E-3</v>
      </c>
      <c r="G181" s="3" cm="1">
        <f t="array" aca="1" ref="G181" ca="1">_FV(B181,"Market cap",TRUE)</f>
        <v>100629100000</v>
      </c>
    </row>
    <row r="182" spans="1:7" x14ac:dyDescent="0.3">
      <c r="A182" t="s">
        <v>385</v>
      </c>
      <c r="B182" t="e" vm="229">
        <v>#VALUE!</v>
      </c>
      <c r="C182" t="s">
        <v>381</v>
      </c>
      <c r="D182" t="s">
        <v>386</v>
      </c>
      <c r="E182" s="2" cm="1">
        <f t="array" aca="1" ref="E182" ca="1">_FV(B182,"Price")</f>
        <v>66.14</v>
      </c>
      <c r="F182" s="1" cm="1">
        <f t="array" aca="1" ref="F182" ca="1">_FV(B182,"Change (%)",TRUE)</f>
        <v>9.9249999999999998E-3</v>
      </c>
      <c r="G182" s="3" cm="1">
        <f t="array" aca="1" ref="G182" ca="1">_FV(B182,"Market cap",TRUE)</f>
        <v>85639090000</v>
      </c>
    </row>
    <row r="183" spans="1:7" x14ac:dyDescent="0.3">
      <c r="A183" t="s">
        <v>387</v>
      </c>
      <c r="B183" t="e" vm="230">
        <v>#VALUE!</v>
      </c>
      <c r="C183" t="s">
        <v>381</v>
      </c>
      <c r="D183" t="s">
        <v>388</v>
      </c>
      <c r="E183" s="2" cm="1">
        <f t="array" aca="1" ref="E183" ca="1">_FV(B183,"Price")</f>
        <v>53.38</v>
      </c>
      <c r="F183" s="1" cm="1">
        <f t="array" aca="1" ref="F183" ca="1">_FV(B183,"Change (%)",TRUE)</f>
        <v>7.4989999999999996E-4</v>
      </c>
      <c r="G183" s="3" cm="1">
        <f t="array" aca="1" ref="G183" ca="1">_FV(B183,"Market cap",TRUE)</f>
        <v>29230920000</v>
      </c>
    </row>
    <row r="184" spans="1:7" x14ac:dyDescent="0.3">
      <c r="A184" t="s">
        <v>389</v>
      </c>
      <c r="B184" t="e" vm="231">
        <v>#VALUE!</v>
      </c>
      <c r="C184" t="s">
        <v>381</v>
      </c>
      <c r="D184" t="s">
        <v>390</v>
      </c>
      <c r="E184" s="2" cm="1">
        <f t="array" aca="1" ref="E184" ca="1">_FV(B184,"Price")</f>
        <v>26.3</v>
      </c>
      <c r="F184" s="1" cm="1">
        <f t="array" aca="1" ref="F184" ca="1">_FV(B184,"Change (%)",TRUE)</f>
        <v>-7.5470000000000008E-3</v>
      </c>
      <c r="G184" s="3" cm="1">
        <f t="array" aca="1" ref="G184" ca="1">_FV(B184,"Market cap",TRUE)</f>
        <v>31127160000</v>
      </c>
    </row>
    <row r="185" spans="1:7" x14ac:dyDescent="0.3">
      <c r="A185" t="s">
        <v>391</v>
      </c>
      <c r="B185" t="e" vm="232">
        <v>#VALUE!</v>
      </c>
      <c r="C185" t="s">
        <v>381</v>
      </c>
      <c r="D185" t="s">
        <v>392</v>
      </c>
      <c r="E185" s="2" cm="1">
        <f t="array" aca="1" ref="E185" ca="1">_FV(B185,"Price")</f>
        <v>155.35</v>
      </c>
      <c r="F185" s="1" cm="1">
        <f t="array" aca="1" ref="F185" ca="1">_FV(B185,"Change (%)",TRUE)</f>
        <v>9.6839999999999999E-3</v>
      </c>
      <c r="G185" s="3" cm="1">
        <f t="array" aca="1" ref="G185" ca="1">_FV(B185,"Market cap",TRUE)</f>
        <v>31474500000</v>
      </c>
    </row>
    <row r="186" spans="1:7" x14ac:dyDescent="0.3">
      <c r="A186" t="s">
        <v>393</v>
      </c>
      <c r="B186" t="e" vm="233">
        <v>#VALUE!</v>
      </c>
      <c r="C186" t="s">
        <v>381</v>
      </c>
      <c r="D186" t="s">
        <v>394</v>
      </c>
      <c r="E186" s="2" cm="1">
        <f t="array" aca="1" ref="E186" ca="1">_FV(B186,"Price")</f>
        <v>47.94</v>
      </c>
      <c r="F186" s="1" cm="1">
        <f t="array" aca="1" ref="F186" ca="1">_FV(B186,"Change (%)",TRUE)</f>
        <v>-4.17E-4</v>
      </c>
      <c r="G186" s="3" cm="1">
        <f t="array" aca="1" ref="G186" ca="1">_FV(B186,"Market cap",TRUE)</f>
        <v>23032770000</v>
      </c>
    </row>
    <row r="187" spans="1:7" x14ac:dyDescent="0.3">
      <c r="A187" t="s">
        <v>395</v>
      </c>
      <c r="B187" t="e" vm="234">
        <v>#VALUE!</v>
      </c>
      <c r="C187" t="s">
        <v>381</v>
      </c>
      <c r="D187" t="s">
        <v>396</v>
      </c>
      <c r="E187" s="2" cm="1">
        <f t="array" aca="1" ref="E187" ca="1">_FV(B187,"Price")</f>
        <v>82.39</v>
      </c>
      <c r="F187" s="1" cm="1">
        <f t="array" aca="1" ref="F187" ca="1">_FV(B187,"Change (%)",TRUE)</f>
        <v>3.777E-3</v>
      </c>
      <c r="G187" s="3" cm="1">
        <f t="array" aca="1" ref="G187" ca="1">_FV(B187,"Market cap",TRUE)</f>
        <v>28584310000</v>
      </c>
    </row>
    <row r="188" spans="1:7" x14ac:dyDescent="0.3">
      <c r="A188" t="s">
        <v>397</v>
      </c>
      <c r="B188" t="e" vm="235">
        <v>#VALUE!</v>
      </c>
      <c r="C188" t="s">
        <v>381</v>
      </c>
      <c r="D188" t="s">
        <v>398</v>
      </c>
      <c r="E188" s="2" cm="1">
        <f t="array" aca="1" ref="E188" ca="1">_FV(B188,"Price")</f>
        <v>75</v>
      </c>
      <c r="F188" s="1" cm="1">
        <f t="array" aca="1" ref="F188" ca="1">_FV(B188,"Change (%)",TRUE)</f>
        <v>-9.5090000000000001E-3</v>
      </c>
      <c r="G188" s="3" cm="1">
        <f t="array" aca="1" ref="G188" ca="1">_FV(B188,"Market cap",TRUE)</f>
        <v>19184280000</v>
      </c>
    </row>
    <row r="189" spans="1:7" x14ac:dyDescent="0.3">
      <c r="A189" t="s">
        <v>399</v>
      </c>
      <c r="B189" t="e" vm="236">
        <v>#VALUE!</v>
      </c>
      <c r="C189" t="s">
        <v>381</v>
      </c>
      <c r="D189" t="s">
        <v>400</v>
      </c>
      <c r="E189" s="2" cm="1">
        <f t="array" aca="1" ref="E189" ca="1">_FV(B189,"Price")</f>
        <v>71.11</v>
      </c>
      <c r="F189" s="1" cm="1">
        <f t="array" aca="1" ref="F189" ca="1">_FV(B189,"Change (%)",TRUE)</f>
        <v>-2.8050000000000002E-3</v>
      </c>
      <c r="G189" s="3" cm="1">
        <f t="array" aca="1" ref="G189" ca="1">_FV(B189,"Market cap",TRUE)</f>
        <v>19070470000</v>
      </c>
    </row>
    <row r="190" spans="1:7" x14ac:dyDescent="0.3">
      <c r="A190" t="s">
        <v>401</v>
      </c>
      <c r="B190" t="e" vm="237">
        <v>#VALUE!</v>
      </c>
      <c r="C190" t="s">
        <v>381</v>
      </c>
      <c r="D190" t="s">
        <v>402</v>
      </c>
      <c r="E190" s="2" cm="1">
        <f t="array" aca="1" ref="E190" ca="1">_FV(B190,"Price")</f>
        <v>55.55</v>
      </c>
      <c r="F190" s="1" cm="1">
        <f t="array" aca="1" ref="F190" ca="1">_FV(B190,"Change (%)",TRUE)</f>
        <v>1.2620000000000001E-3</v>
      </c>
      <c r="G190" s="3" cm="1">
        <f t="array" aca="1" ref="G190" ca="1">_FV(B190,"Market cap",TRUE)</f>
        <v>19788820000</v>
      </c>
    </row>
    <row r="191" spans="1:7" x14ac:dyDescent="0.3">
      <c r="A191" t="s">
        <v>403</v>
      </c>
      <c r="B191" t="e" vm="238">
        <v>#VALUE!</v>
      </c>
      <c r="C191" t="s">
        <v>381</v>
      </c>
      <c r="D191" t="s">
        <v>404</v>
      </c>
      <c r="E191" s="2" cm="1">
        <f t="array" aca="1" ref="E191" ca="1">_FV(B191,"Price")</f>
        <v>22.4</v>
      </c>
      <c r="F191" s="1" cm="1">
        <f t="array" aca="1" ref="F191" ca="1">_FV(B191,"Change (%)",TRUE)</f>
        <v>4.0339999999999994E-3</v>
      </c>
      <c r="G191" s="3" cm="1">
        <f t="array" aca="1" ref="G191" ca="1">_FV(B191,"Market cap",TRUE)</f>
        <v>10692920000</v>
      </c>
    </row>
    <row r="192" spans="1:7" x14ac:dyDescent="0.3">
      <c r="A192" t="s">
        <v>405</v>
      </c>
      <c r="B192" t="e" vm="239">
        <v>#VALUE!</v>
      </c>
      <c r="C192" t="s">
        <v>381</v>
      </c>
      <c r="D192" t="s">
        <v>406</v>
      </c>
      <c r="E192" s="2" cm="1">
        <f t="array" aca="1" ref="E192" ca="1">_FV(B192,"Price")</f>
        <v>112.64</v>
      </c>
      <c r="F192" s="1" cm="1">
        <f t="array" aca="1" ref="F192" ca="1">_FV(B192,"Change (%)",TRUE)</f>
        <v>5.8040000000000001E-3</v>
      </c>
      <c r="G192" s="3" cm="1">
        <f t="array" aca="1" ref="G192" ca="1">_FV(B192,"Market cap",TRUE)</f>
        <v>11986770000</v>
      </c>
    </row>
    <row r="193" spans="1:7" x14ac:dyDescent="0.3">
      <c r="A193" t="s">
        <v>407</v>
      </c>
      <c r="B193" t="e" vm="240">
        <v>#VALUE!</v>
      </c>
      <c r="C193" t="s">
        <v>381</v>
      </c>
      <c r="D193" t="s">
        <v>408</v>
      </c>
      <c r="E193" s="2" cm="1">
        <f t="array" aca="1" ref="E193" ca="1">_FV(B193,"Price")</f>
        <v>78.099999999999994</v>
      </c>
      <c r="F193" s="1" cm="1">
        <f t="array" aca="1" ref="F193" ca="1">_FV(B193,"Change (%)",TRUE)</f>
        <v>3.8560000000000001E-3</v>
      </c>
      <c r="G193" s="3" cm="1">
        <f t="array" aca="1" ref="G193" ca="1">_FV(B193,"Market cap",TRUE)</f>
        <v>10497030000</v>
      </c>
    </row>
    <row r="194" spans="1:7" x14ac:dyDescent="0.3">
      <c r="A194" t="s">
        <v>409</v>
      </c>
      <c r="B194" t="e" vm="241">
        <v>#VALUE!</v>
      </c>
      <c r="C194" t="s">
        <v>381</v>
      </c>
      <c r="D194" t="s">
        <v>410</v>
      </c>
      <c r="E194" s="2" cm="1">
        <f t="array" aca="1" ref="E194" ca="1">_FV(B194,"Price")</f>
        <v>29.44</v>
      </c>
      <c r="F194" s="1" cm="1">
        <f t="array" aca="1" ref="F194" ca="1">_FV(B194,"Change (%)",TRUE)</f>
        <v>-3.3959999999999996E-4</v>
      </c>
      <c r="G194" s="3" cm="1">
        <f t="array" aca="1" ref="G194" ca="1">_FV(B194,"Market cap",TRUE)</f>
        <v>16189420000</v>
      </c>
    </row>
    <row r="195" spans="1:7" x14ac:dyDescent="0.3">
      <c r="A195" t="s">
        <v>411</v>
      </c>
      <c r="B195" t="e" vm="242">
        <v>#VALUE!</v>
      </c>
      <c r="C195" t="s">
        <v>381</v>
      </c>
      <c r="D195" t="s">
        <v>412</v>
      </c>
      <c r="E195" s="2" cm="1">
        <f t="array" aca="1" ref="E195" ca="1">_FV(B195,"Price")</f>
        <v>33.5</v>
      </c>
      <c r="F195" s="1" cm="1">
        <f t="array" aca="1" ref="F195" ca="1">_FV(B195,"Change (%)",TRUE)</f>
        <v>-1.7883E-2</v>
      </c>
      <c r="G195" s="3" cm="1">
        <f t="array" aca="1" ref="G195" ca="1">_FV(B195,"Market cap",TRUE)</f>
        <v>9989093000</v>
      </c>
    </row>
    <row r="196" spans="1:7" x14ac:dyDescent="0.3">
      <c r="A196" t="s">
        <v>413</v>
      </c>
      <c r="B196" t="e" vm="243">
        <v>#VALUE!</v>
      </c>
      <c r="C196" t="s">
        <v>381</v>
      </c>
      <c r="D196" t="s">
        <v>414</v>
      </c>
      <c r="E196" s="2" cm="1">
        <f t="array" aca="1" ref="E196" ca="1">_FV(B196,"Price")</f>
        <v>50.56</v>
      </c>
      <c r="F196" s="1" cm="1">
        <f t="array" aca="1" ref="F196" ca="1">_FV(B196,"Change (%)",TRUE)</f>
        <v>-9.0159999999999997E-3</v>
      </c>
      <c r="G196" s="3" cm="1">
        <f t="array" aca="1" ref="G196" ca="1">_FV(B196,"Market cap",TRUE)</f>
        <v>7134806000</v>
      </c>
    </row>
    <row r="197" spans="1:7" ht="18" x14ac:dyDescent="0.3">
      <c r="A197" t="s">
        <v>415</v>
      </c>
      <c r="B197" t="e" vm="244">
        <v>#VALUE!</v>
      </c>
      <c r="C197" s="7" t="s">
        <v>416</v>
      </c>
      <c r="D197" t="s">
        <v>417</v>
      </c>
      <c r="E197" s="2" cm="1">
        <f t="array" aca="1" ref="E197" ca="1">_FV(B197,"Price")</f>
        <v>222.11</v>
      </c>
      <c r="F197" s="1" cm="1">
        <f t="array" aca="1" ref="F197" ca="1">_FV(B197,"Change (%)",TRUE)</f>
        <v>-3.4100000000000003E-3</v>
      </c>
      <c r="G197" s="3" cm="1">
        <f t="array" aca="1" ref="G197" ca="1">_FV(B197,"Market cap",TRUE)</f>
        <v>132705300000</v>
      </c>
    </row>
    <row r="198" spans="1:7" ht="18" x14ac:dyDescent="0.3">
      <c r="A198" t="s">
        <v>418</v>
      </c>
      <c r="B198" t="e" vm="12">
        <v>#VALUE!</v>
      </c>
      <c r="C198" s="7" t="s">
        <v>416</v>
      </c>
      <c r="D198" t="s">
        <v>419</v>
      </c>
      <c r="E198" s="2" cm="1">
        <f t="array" aca="1" ref="E198" ca="1">_FV(B198,"Price")</f>
        <v>95.37</v>
      </c>
      <c r="F198" s="1" cm="1">
        <f t="array" aca="1" ref="F198" ca="1">_FV(B198,"Change (%)",TRUE)</f>
        <v>-1.6500000000000001E-2</v>
      </c>
      <c r="G198" s="3" cm="1">
        <f t="array" aca="1" ref="G198" ca="1">_FV(B198,"Market cap",TRUE)</f>
        <v>80759110000</v>
      </c>
    </row>
    <row r="199" spans="1:7" ht="18" x14ac:dyDescent="0.3">
      <c r="A199" t="s">
        <v>420</v>
      </c>
      <c r="B199" t="e" vm="245">
        <v>#VALUE!</v>
      </c>
      <c r="C199" s="7" t="s">
        <v>416</v>
      </c>
      <c r="D199" t="s">
        <v>421</v>
      </c>
      <c r="E199" s="2" cm="1">
        <f t="array" aca="1" ref="E199" ca="1">_FV(B199,"Price")</f>
        <v>30.82</v>
      </c>
      <c r="F199" s="1" cm="1">
        <f t="array" aca="1" ref="F199" ca="1">_FV(B199,"Change (%)",TRUE)</f>
        <v>5.875E-3</v>
      </c>
      <c r="G199" s="3" cm="1">
        <f t="array" aca="1" ref="G199" ca="1">_FV(B199,"Market cap",TRUE)</f>
        <v>57896790000</v>
      </c>
    </row>
    <row r="200" spans="1:7" ht="18" x14ac:dyDescent="0.3">
      <c r="A200" t="s">
        <v>422</v>
      </c>
      <c r="B200" t="e" vm="246">
        <v>#VALUE!</v>
      </c>
      <c r="C200" s="7" t="s">
        <v>416</v>
      </c>
      <c r="D200" t="s">
        <v>423</v>
      </c>
      <c r="E200" s="2" cm="1">
        <f t="array" aca="1" ref="E200" ca="1">_FV(B200,"Price")</f>
        <v>216.61</v>
      </c>
      <c r="F200" s="1" cm="1">
        <f t="array" aca="1" ref="F200" ca="1">_FV(B200,"Change (%)",TRUE)</f>
        <v>-1.0054E-2</v>
      </c>
      <c r="G200" s="3" cm="1">
        <f t="array" aca="1" ref="G200" ca="1">_FV(B200,"Market cap",TRUE)</f>
        <v>51899520000</v>
      </c>
    </row>
    <row r="201" spans="1:7" ht="18" x14ac:dyDescent="0.3">
      <c r="A201" t="s">
        <v>424</v>
      </c>
      <c r="B201" t="e" vm="247">
        <v>#VALUE!</v>
      </c>
      <c r="C201" s="7" t="s">
        <v>416</v>
      </c>
      <c r="D201" t="s">
        <v>425</v>
      </c>
      <c r="E201" s="2" cm="1">
        <f t="array" aca="1" ref="E201" ca="1">_FV(B201,"Price")</f>
        <v>240.02</v>
      </c>
      <c r="F201" s="1" cm="1">
        <f t="array" aca="1" ref="F201" ca="1">_FV(B201,"Change (%)",TRUE)</f>
        <v>1.586E-3</v>
      </c>
      <c r="G201" s="3" cm="1">
        <f t="array" aca="1" ref="G201" ca="1">_FV(B201,"Market cap",TRUE)</f>
        <v>54110950000</v>
      </c>
    </row>
    <row r="202" spans="1:7" ht="18" x14ac:dyDescent="0.3">
      <c r="A202" t="s">
        <v>426</v>
      </c>
      <c r="B202" t="e" vm="248">
        <v>#VALUE!</v>
      </c>
      <c r="C202" s="7" t="s">
        <v>416</v>
      </c>
      <c r="D202" t="s">
        <v>427</v>
      </c>
      <c r="E202" s="2" cm="1">
        <f t="array" aca="1" ref="E202" ca="1">_FV(B202,"Price")</f>
        <v>161.56</v>
      </c>
      <c r="F202" s="1" cm="1">
        <f t="array" aca="1" ref="F202" ca="1">_FV(B202,"Change (%)",TRUE)</f>
        <v>-1.2468999999999999E-2</v>
      </c>
      <c r="G202" s="3" cm="1">
        <f t="array" aca="1" ref="G202" ca="1">_FV(B202,"Market cap",TRUE)</f>
        <v>34141730000</v>
      </c>
    </row>
    <row r="203" spans="1:7" ht="18" x14ac:dyDescent="0.3">
      <c r="A203" t="s">
        <v>428</v>
      </c>
      <c r="B203" t="e" vm="249">
        <v>#VALUE!</v>
      </c>
      <c r="C203" s="7" t="s">
        <v>416</v>
      </c>
      <c r="D203" t="s">
        <v>429</v>
      </c>
      <c r="E203" s="2" cm="1">
        <f t="array" aca="1" ref="E203" ca="1">_FV(B203,"Price")</f>
        <v>112.46</v>
      </c>
      <c r="F203" s="1" cm="1">
        <f t="array" aca="1" ref="F203" ca="1">_FV(B203,"Change (%)",TRUE)</f>
        <v>-1.0819E-2</v>
      </c>
      <c r="G203" s="3" cm="1">
        <f t="array" aca="1" ref="G203" ca="1">_FV(B203,"Market cap",TRUE)</f>
        <v>15401180000</v>
      </c>
    </row>
    <row r="204" spans="1:7" ht="18" x14ac:dyDescent="0.3">
      <c r="A204" t="s">
        <v>430</v>
      </c>
      <c r="B204" t="e" vm="250">
        <v>#VALUE!</v>
      </c>
      <c r="C204" s="7" t="s">
        <v>416</v>
      </c>
      <c r="D204" t="s">
        <v>431</v>
      </c>
      <c r="E204" s="2" cm="1">
        <f t="array" aca="1" ref="E204" ca="1">_FV(B204,"Price")</f>
        <v>137.41999999999999</v>
      </c>
      <c r="F204" s="1" cm="1">
        <f t="array" aca="1" ref="F204" ca="1">_FV(B204,"Change (%)",TRUE)</f>
        <v>-1.158E-2</v>
      </c>
      <c r="G204" s="3" cm="1">
        <f t="array" aca="1" ref="G204" ca="1">_FV(B204,"Market cap",TRUE)</f>
        <v>13631380000</v>
      </c>
    </row>
    <row r="205" spans="1:7" ht="18" x14ac:dyDescent="0.3">
      <c r="A205" t="s">
        <v>432</v>
      </c>
      <c r="B205" t="e" vm="251">
        <v>#VALUE!</v>
      </c>
      <c r="C205" s="7" t="s">
        <v>416</v>
      </c>
      <c r="D205" t="s">
        <v>433</v>
      </c>
      <c r="E205" s="2" cm="1">
        <f t="array" aca="1" ref="E205" ca="1">_FV(B205,"Price")</f>
        <v>95.75</v>
      </c>
      <c r="F205" s="1" cm="1">
        <f t="array" aca="1" ref="F205" ca="1">_FV(B205,"Change (%)",TRUE)</f>
        <v>-7.977999999999999E-3</v>
      </c>
      <c r="G205" s="3" cm="1">
        <f t="array" aca="1" ref="G205" ca="1">_FV(B205,"Market cap",TRUE)</f>
        <v>11368460000</v>
      </c>
    </row>
    <row r="206" spans="1:7" ht="18" x14ac:dyDescent="0.3">
      <c r="A206" t="s">
        <v>434</v>
      </c>
      <c r="B206" t="e" vm="28">
        <v>#VALUE!</v>
      </c>
      <c r="C206" s="6" t="s">
        <v>435</v>
      </c>
      <c r="D206" t="s">
        <v>436</v>
      </c>
      <c r="E206" s="2" cm="1">
        <f t="array" aca="1" ref="E206" ca="1">_FV(B206,"Price")</f>
        <v>295.57</v>
      </c>
      <c r="F206" s="1" cm="1">
        <f t="array" aca="1" ref="F206" ca="1">_FV(B206,"Change (%)",TRUE)</f>
        <v>-3.7080000000000004E-3</v>
      </c>
      <c r="G206" s="3" cm="1">
        <f t="array" aca="1" ref="G206" ca="1">_FV(B206,"Market cap",TRUE)</f>
        <v>268123500000</v>
      </c>
    </row>
    <row r="207" spans="1:7" ht="18" x14ac:dyDescent="0.3">
      <c r="A207" t="s">
        <v>437</v>
      </c>
      <c r="B207" t="e" vm="252">
        <v>#VALUE!</v>
      </c>
      <c r="C207" s="6" t="s">
        <v>435</v>
      </c>
      <c r="D207" t="s">
        <v>438</v>
      </c>
      <c r="E207" s="2" cm="1">
        <f t="array" aca="1" ref="E207" ca="1">_FV(B207,"Price")</f>
        <v>131.30000000000001</v>
      </c>
      <c r="F207" s="1" cm="1">
        <f t="array" aca="1" ref="F207" ca="1">_FV(B207,"Change (%)",TRUE)</f>
        <v>-1.5210000000000002E-3</v>
      </c>
      <c r="G207" s="3" cm="1">
        <f t="array" aca="1" ref="G207" ca="1">_FV(B207,"Market cap",TRUE)</f>
        <v>228440500000</v>
      </c>
    </row>
    <row r="208" spans="1:7" ht="18" x14ac:dyDescent="0.3">
      <c r="A208" t="s">
        <v>439</v>
      </c>
      <c r="B208" t="e" vm="253">
        <v>#VALUE!</v>
      </c>
      <c r="C208" s="6" t="s">
        <v>435</v>
      </c>
      <c r="D208" t="s">
        <v>440</v>
      </c>
      <c r="E208" s="2" cm="1">
        <f t="array" aca="1" ref="E208" ca="1">_FV(B208,"Price")</f>
        <v>393.66</v>
      </c>
      <c r="F208" s="1" cm="1">
        <f t="array" aca="1" ref="F208" ca="1">_FV(B208,"Change (%)",TRUE)</f>
        <v>-1.703E-2</v>
      </c>
      <c r="G208" s="3" cm="1">
        <f t="array" aca="1" ref="G208" ca="1">_FV(B208,"Market cap",TRUE)</f>
        <v>148604300000</v>
      </c>
    </row>
    <row r="209" spans="1:7" ht="18" x14ac:dyDescent="0.3">
      <c r="A209" t="s">
        <v>441</v>
      </c>
      <c r="B209" t="e" vm="254">
        <v>#VALUE!</v>
      </c>
      <c r="C209" s="6" t="s">
        <v>435</v>
      </c>
      <c r="D209" t="s">
        <v>442</v>
      </c>
      <c r="E209" s="2" cm="1">
        <f t="array" aca="1" ref="E209" ca="1">_FV(B209,"Price")</f>
        <v>539.54</v>
      </c>
      <c r="F209" s="1" cm="1">
        <f t="array" aca="1" ref="F209" ca="1">_FV(B209,"Change (%)",TRUE)</f>
        <v>-5.7679999999999997E-3</v>
      </c>
      <c r="G209" s="3" cm="1">
        <f t="array" aca="1" ref="G209" ca="1">_FV(B209,"Market cap",TRUE)</f>
        <v>193381000000</v>
      </c>
    </row>
    <row r="210" spans="1:7" ht="18" x14ac:dyDescent="0.3">
      <c r="A210" t="s">
        <v>443</v>
      </c>
      <c r="B210" t="e" vm="255">
        <v>#VALUE!</v>
      </c>
      <c r="C210" s="6" t="s">
        <v>435</v>
      </c>
      <c r="D210" t="s">
        <v>444</v>
      </c>
      <c r="E210" s="2" cm="1">
        <f t="array" aca="1" ref="E210" ca="1">_FV(B210,"Price")</f>
        <v>104.5</v>
      </c>
      <c r="F210" s="1" cm="1">
        <f t="array" aca="1" ref="F210" ca="1">_FV(B210,"Change (%)",TRUE)</f>
        <v>0</v>
      </c>
      <c r="G210" s="3" cm="1">
        <f t="array" aca="1" ref="G210" ca="1">_FV(B210,"Market cap",TRUE)</f>
        <v>154602107000</v>
      </c>
    </row>
    <row r="211" spans="1:7" ht="18" x14ac:dyDescent="0.3">
      <c r="A211" t="s">
        <v>445</v>
      </c>
      <c r="B211" t="e" vm="256">
        <v>#VALUE!</v>
      </c>
      <c r="C211" s="6" t="s">
        <v>435</v>
      </c>
      <c r="D211" t="s">
        <v>446</v>
      </c>
      <c r="E211" s="2" cm="1">
        <f t="array" aca="1" ref="E211" ca="1">_FV(B211,"Price")</f>
        <v>184.54</v>
      </c>
      <c r="F211" s="1" cm="1">
        <f t="array" aca="1" ref="F211" ca="1">_FV(B211,"Change (%)",TRUE)</f>
        <v>-1.5682000000000001E-2</v>
      </c>
      <c r="G211" s="3" cm="1">
        <f t="array" aca="1" ref="G211" ca="1">_FV(B211,"Market cap",TRUE)</f>
        <v>132069700000</v>
      </c>
    </row>
    <row r="212" spans="1:7" ht="18" x14ac:dyDescent="0.3">
      <c r="A212" t="s">
        <v>447</v>
      </c>
      <c r="B212" t="e" vm="257">
        <v>#VALUE!</v>
      </c>
      <c r="C212" s="6" t="s">
        <v>435</v>
      </c>
      <c r="D212" t="s">
        <v>448</v>
      </c>
      <c r="E212" s="2" cm="1">
        <f t="array" aca="1" ref="E212" ca="1">_FV(B212,"Price")</f>
        <v>376.62</v>
      </c>
      <c r="F212" s="1" cm="1">
        <f t="array" aca="1" ref="F212" ca="1">_FV(B212,"Change (%)",TRUE)</f>
        <v>-4.3880000000000004E-3</v>
      </c>
      <c r="G212" s="3" cm="1">
        <f t="array" aca="1" ref="G212" ca="1">_FV(B212,"Market cap",TRUE)</f>
        <v>143930900000</v>
      </c>
    </row>
    <row r="213" spans="1:7" ht="18" x14ac:dyDescent="0.3">
      <c r="A213" t="s">
        <v>449</v>
      </c>
      <c r="B213" t="e" vm="258">
        <v>#VALUE!</v>
      </c>
      <c r="C213" s="6" t="s">
        <v>435</v>
      </c>
      <c r="D213" t="s">
        <v>450</v>
      </c>
      <c r="E213" s="2" cm="1">
        <f t="array" aca="1" ref="E213" ca="1">_FV(B213,"Price")</f>
        <v>80.680000000000007</v>
      </c>
      <c r="F213" s="1" cm="1">
        <f t="array" aca="1" ref="F213" ca="1">_FV(B213,"Change (%)",TRUE)</f>
        <v>-2.843E-3</v>
      </c>
      <c r="G213" s="3" cm="1">
        <f t="array" aca="1" ref="G213" ca="1">_FV(B213,"Market cap",TRUE)</f>
        <v>103475600000</v>
      </c>
    </row>
    <row r="214" spans="1:7" ht="18" x14ac:dyDescent="0.3">
      <c r="A214" t="s">
        <v>451</v>
      </c>
      <c r="B214" t="e" vm="259">
        <v>#VALUE!</v>
      </c>
      <c r="C214" s="6" t="s">
        <v>435</v>
      </c>
      <c r="D214" t="s">
        <v>452</v>
      </c>
      <c r="E214" s="2" cm="1">
        <f t="array" aca="1" ref="E214" ca="1">_FV(B214,"Price")</f>
        <v>372.27</v>
      </c>
      <c r="F214" s="1" cm="1">
        <f t="array" aca="1" ref="F214" ca="1">_FV(B214,"Change (%)",TRUE)</f>
        <v>-3.1833E-2</v>
      </c>
      <c r="G214" s="3" cm="1">
        <f t="array" aca="1" ref="G214" ca="1">_FV(B214,"Market cap",TRUE)</f>
        <v>84108670000</v>
      </c>
    </row>
    <row r="215" spans="1:7" ht="18" x14ac:dyDescent="0.3">
      <c r="A215" t="s">
        <v>453</v>
      </c>
      <c r="B215" t="e" vm="260">
        <v>#VALUE!</v>
      </c>
      <c r="C215" s="6" t="s">
        <v>435</v>
      </c>
      <c r="D215" t="s">
        <v>454</v>
      </c>
      <c r="E215" s="2" cm="1">
        <f t="array" aca="1" ref="E215" ca="1">_FV(B215,"Price")</f>
        <v>315.99</v>
      </c>
      <c r="F215" s="1" cm="1">
        <f t="array" aca="1" ref="F215" ca="1">_FV(B215,"Change (%)",TRUE)</f>
        <v>1.0586E-2</v>
      </c>
      <c r="G215" s="3" cm="1">
        <f t="array" aca="1" ref="G215" ca="1">_FV(B215,"Market cap",TRUE)</f>
        <v>84414390000</v>
      </c>
    </row>
    <row r="216" spans="1:7" ht="18" x14ac:dyDescent="0.3">
      <c r="A216" t="s">
        <v>455</v>
      </c>
      <c r="B216" t="e" vm="261">
        <v>#VALUE!</v>
      </c>
      <c r="C216" s="6" t="s">
        <v>435</v>
      </c>
      <c r="D216" t="s">
        <v>456</v>
      </c>
      <c r="E216" s="2" cm="1">
        <f t="array" aca="1" ref="E216" ca="1">_FV(B216,"Price")</f>
        <v>60.83</v>
      </c>
      <c r="F216" s="1" cm="1">
        <f t="array" aca="1" ref="F216" ca="1">_FV(B216,"Change (%)",TRUE)</f>
        <v>1.0129999999999998E-2</v>
      </c>
      <c r="G216" s="3" cm="1">
        <f t="array" aca="1" ref="G216" ca="1">_FV(B216,"Market cap",TRUE)</f>
        <v>76951130000</v>
      </c>
    </row>
    <row r="217" spans="1:7" ht="18" x14ac:dyDescent="0.3">
      <c r="A217" t="s">
        <v>457</v>
      </c>
      <c r="B217" t="e" vm="262">
        <v>#VALUE!</v>
      </c>
      <c r="C217" s="6" t="s">
        <v>435</v>
      </c>
      <c r="D217" t="s">
        <v>458</v>
      </c>
      <c r="E217" s="2" cm="1">
        <f t="array" aca="1" ref="E217" ca="1">_FV(B217,"Price")</f>
        <v>171.38</v>
      </c>
      <c r="F217" s="1" cm="1">
        <f t="array" aca="1" ref="F217" ca="1">_FV(B217,"Change (%)",TRUE)</f>
        <v>-5.3969999999999999E-3</v>
      </c>
      <c r="G217" s="3" cm="1">
        <f t="array" aca="1" ref="G217" ca="1">_FV(B217,"Market cap",TRUE)</f>
        <v>49118780000</v>
      </c>
    </row>
    <row r="218" spans="1:7" ht="18" x14ac:dyDescent="0.3">
      <c r="A218" t="s">
        <v>459</v>
      </c>
      <c r="B218" t="e" vm="263">
        <v>#VALUE!</v>
      </c>
      <c r="C218" s="6" t="s">
        <v>435</v>
      </c>
      <c r="D218" t="s">
        <v>460</v>
      </c>
      <c r="E218" s="2" cm="1">
        <f t="array" aca="1" ref="E218" ca="1">_FV(B218,"Price")</f>
        <v>376.59</v>
      </c>
      <c r="F218" s="1" cm="1">
        <f t="array" aca="1" ref="F218" ca="1">_FV(B218,"Change (%)",TRUE)</f>
        <v>-1.328E-4</v>
      </c>
      <c r="G218" s="3" cm="1">
        <f t="array" aca="1" ref="G218" ca="1">_FV(B218,"Market cap",TRUE)</f>
        <v>92717700000</v>
      </c>
    </row>
    <row r="219" spans="1:7" ht="18" x14ac:dyDescent="0.3">
      <c r="A219" t="s">
        <v>461</v>
      </c>
      <c r="B219" t="e" vm="22">
        <v>#VALUE!</v>
      </c>
      <c r="C219" s="6" t="s">
        <v>435</v>
      </c>
      <c r="D219" t="s">
        <v>462</v>
      </c>
      <c r="E219" s="2" cm="1">
        <f t="array" aca="1" ref="E219" ca="1">_FV(B219,"Price")</f>
        <v>292.35000000000002</v>
      </c>
      <c r="F219" s="1" cm="1">
        <f t="array" aca="1" ref="F219" ca="1">_FV(B219,"Change (%)",TRUE)</f>
        <v>7.7210000000000004E-3</v>
      </c>
      <c r="G219" s="3" cm="1">
        <f t="array" aca="1" ref="G219" ca="1">_FV(B219,"Market cap",TRUE)</f>
        <v>56664300000</v>
      </c>
    </row>
    <row r="220" spans="1:7" ht="18" x14ac:dyDescent="0.3">
      <c r="A220" t="s">
        <v>463</v>
      </c>
      <c r="B220" t="e" vm="264">
        <v>#VALUE!</v>
      </c>
      <c r="C220" s="6" t="s">
        <v>435</v>
      </c>
      <c r="D220" t="s">
        <v>464</v>
      </c>
      <c r="E220" s="2" cm="1">
        <f t="array" aca="1" ref="E220" ca="1">_FV(B220,"Price")</f>
        <v>74.989999999999995</v>
      </c>
      <c r="F220" s="1" cm="1">
        <f t="array" aca="1" ref="F220" ca="1">_FV(B220,"Change (%)",TRUE)</f>
        <v>2.6740000000000002E-3</v>
      </c>
      <c r="G220" s="3" cm="1">
        <f t="array" aca="1" ref="G220" ca="1">_FV(B220,"Market cap",TRUE)</f>
        <v>43989130000</v>
      </c>
    </row>
    <row r="221" spans="1:7" ht="18" x14ac:dyDescent="0.3">
      <c r="A221" t="s">
        <v>465</v>
      </c>
      <c r="B221" t="e" vm="265">
        <v>#VALUE!</v>
      </c>
      <c r="C221" s="6" t="s">
        <v>435</v>
      </c>
      <c r="D221" t="s">
        <v>466</v>
      </c>
      <c r="E221" s="2" cm="1">
        <f t="array" aca="1" ref="E221" ca="1">_FV(B221,"Price")</f>
        <v>69.16</v>
      </c>
      <c r="F221" s="1" cm="1">
        <f t="array" aca="1" ref="F221" ca="1">_FV(B221,"Change (%)",TRUE)</f>
        <v>-4.032E-3</v>
      </c>
      <c r="G221" s="3" cm="1">
        <f t="array" aca="1" ref="G221" ca="1">_FV(B221,"Market cap",TRUE)</f>
        <v>31667330000</v>
      </c>
    </row>
    <row r="222" spans="1:7" ht="18" x14ac:dyDescent="0.3">
      <c r="A222" t="s">
        <v>467</v>
      </c>
      <c r="B222" t="e" vm="266">
        <v>#VALUE!</v>
      </c>
      <c r="C222" s="6" t="s">
        <v>435</v>
      </c>
      <c r="D222" t="s">
        <v>468</v>
      </c>
      <c r="E222" s="2" cm="1">
        <f t="array" aca="1" ref="E222" ca="1">_FV(B222,"Price")</f>
        <v>108.53</v>
      </c>
      <c r="F222" s="1" cm="1">
        <f t="array" aca="1" ref="F222" ca="1">_FV(B222,"Change (%)",TRUE)</f>
        <v>-1.0485E-2</v>
      </c>
      <c r="G222" s="3" cm="1">
        <f t="array" aca="1" ref="G222" ca="1">_FV(B222,"Market cap",TRUE)</f>
        <v>30942200000</v>
      </c>
    </row>
    <row r="223" spans="1:7" ht="18" x14ac:dyDescent="0.3">
      <c r="A223" t="s">
        <v>469</v>
      </c>
      <c r="B223" t="e" vm="267">
        <v>#VALUE!</v>
      </c>
      <c r="C223" s="6" t="s">
        <v>435</v>
      </c>
      <c r="D223" t="s">
        <v>470</v>
      </c>
      <c r="E223" s="2" cm="1">
        <f t="array" aca="1" ref="E223" ca="1">_FV(B223,"Price")</f>
        <v>501.57</v>
      </c>
      <c r="F223" s="1" cm="1">
        <f t="array" aca="1" ref="F223" ca="1">_FV(B223,"Change (%)",TRUE)</f>
        <v>-6.4580000000000002E-3</v>
      </c>
      <c r="G223" s="3" cm="1">
        <f t="array" aca="1" ref="G223" ca="1">_FV(B223,"Market cap",TRUE)</f>
        <v>40646750000</v>
      </c>
    </row>
    <row r="224" spans="1:7" ht="18" x14ac:dyDescent="0.3">
      <c r="A224" t="s">
        <v>471</v>
      </c>
      <c r="B224" t="e" vm="268">
        <v>#VALUE!</v>
      </c>
      <c r="C224" s="6" t="s">
        <v>435</v>
      </c>
      <c r="D224" t="s">
        <v>472</v>
      </c>
      <c r="E224" s="2" cm="1">
        <f t="array" aca="1" ref="E224" ca="1">_FV(B224,"Price")</f>
        <v>242.84</v>
      </c>
      <c r="F224" s="1" cm="1">
        <f t="array" aca="1" ref="F224" ca="1">_FV(B224,"Change (%)",TRUE)</f>
        <v>-1.0794999999999999E-2</v>
      </c>
      <c r="G224" s="3" cm="1">
        <f t="array" aca="1" ref="G224" ca="1">_FV(B224,"Market cap",TRUE)</f>
        <v>35607000000</v>
      </c>
    </row>
    <row r="225" spans="1:7" ht="18" x14ac:dyDescent="0.3">
      <c r="A225" t="s">
        <v>473</v>
      </c>
      <c r="B225" t="e" vm="269">
        <v>#VALUE!</v>
      </c>
      <c r="C225" s="6" t="s">
        <v>435</v>
      </c>
      <c r="D225" t="s">
        <v>474</v>
      </c>
      <c r="E225" s="2" cm="1">
        <f t="array" aca="1" ref="E225" ca="1">_FV(B225,"Price")</f>
        <v>224.93</v>
      </c>
      <c r="F225" s="1" cm="1">
        <f t="array" aca="1" ref="F225" ca="1">_FV(B225,"Change (%)",TRUE)</f>
        <v>-9.7299999999999991E-3</v>
      </c>
      <c r="G225" s="3" cm="1">
        <f t="array" aca="1" ref="G225" ca="1">_FV(B225,"Market cap",TRUE)</f>
        <v>27147580000</v>
      </c>
    </row>
    <row r="226" spans="1:7" ht="18" x14ac:dyDescent="0.3">
      <c r="A226" t="s">
        <v>475</v>
      </c>
      <c r="B226" t="e" vm="270">
        <v>#VALUE!</v>
      </c>
      <c r="C226" s="6" t="s">
        <v>435</v>
      </c>
      <c r="D226" t="s">
        <v>476</v>
      </c>
      <c r="E226" s="2" cm="1">
        <f t="array" aca="1" ref="E226" ca="1">_FV(B226,"Price")</f>
        <v>84.51</v>
      </c>
      <c r="F226" s="1" cm="1">
        <f t="array" aca="1" ref="F226" ca="1">_FV(B226,"Change (%)",TRUE)</f>
        <v>-3.7719999999999997E-3</v>
      </c>
      <c r="G226" s="3" cm="1">
        <f t="array" aca="1" ref="G226" ca="1">_FV(B226,"Market cap",TRUE)</f>
        <v>33137000000</v>
      </c>
    </row>
    <row r="227" spans="1:7" ht="18" x14ac:dyDescent="0.3">
      <c r="A227" t="s">
        <v>477</v>
      </c>
      <c r="B227" t="e" vm="271">
        <v>#VALUE!</v>
      </c>
      <c r="C227" s="6" t="s">
        <v>435</v>
      </c>
      <c r="D227" t="s">
        <v>478</v>
      </c>
      <c r="E227" s="2" cm="1">
        <f t="array" aca="1" ref="E227" ca="1">_FV(B227,"Price")</f>
        <v>56.41</v>
      </c>
      <c r="F227" s="1" cm="1">
        <f t="array" aca="1" ref="F227" ca="1">_FV(B227,"Change (%)",TRUE)</f>
        <v>-2.8586E-2</v>
      </c>
      <c r="G227" s="3" cm="1">
        <f t="array" aca="1" ref="G227" ca="1">_FV(B227,"Market cap",TRUE)</f>
        <v>28069790000</v>
      </c>
    </row>
    <row r="228" spans="1:7" ht="18" x14ac:dyDescent="0.3">
      <c r="A228" t="s">
        <v>479</v>
      </c>
      <c r="B228" t="e" vm="272">
        <v>#VALUE!</v>
      </c>
      <c r="C228" s="6" t="s">
        <v>435</v>
      </c>
      <c r="D228" t="s">
        <v>480</v>
      </c>
      <c r="E228" s="2" cm="1">
        <f t="array" aca="1" ref="E228" ca="1">_FV(B228,"Price")</f>
        <v>243</v>
      </c>
      <c r="F228" s="1" cm="1">
        <f t="array" aca="1" ref="F228" ca="1">_FV(B228,"Change (%)",TRUE)</f>
        <v>-3.2810000000000001E-3</v>
      </c>
      <c r="G228" s="3" cm="1">
        <f t="array" aca="1" ref="G228" ca="1">_FV(B228,"Market cap",TRUE)</f>
        <v>23874940000</v>
      </c>
    </row>
    <row r="229" spans="1:7" ht="18" x14ac:dyDescent="0.3">
      <c r="A229" t="s">
        <v>481</v>
      </c>
      <c r="B229" t="e" vm="273">
        <v>#VALUE!</v>
      </c>
      <c r="C229" s="6" t="s">
        <v>435</v>
      </c>
      <c r="D229" t="s">
        <v>482</v>
      </c>
      <c r="E229" s="2" cm="1">
        <f t="array" aca="1" ref="E229" ca="1">_FV(B229,"Price")</f>
        <v>346.37</v>
      </c>
      <c r="F229" s="1" cm="1">
        <f t="array" aca="1" ref="F229" ca="1">_FV(B229,"Change (%)",TRUE)</f>
        <v>-5.9979999999999999E-3</v>
      </c>
      <c r="G229" s="3" cm="1">
        <f t="array" aca="1" ref="G229" ca="1">_FV(B229,"Market cap",TRUE)</f>
        <v>20612160000</v>
      </c>
    </row>
    <row r="230" spans="1:7" ht="18" x14ac:dyDescent="0.3">
      <c r="A230" t="s">
        <v>483</v>
      </c>
      <c r="B230" t="e" vm="274">
        <v>#VALUE!</v>
      </c>
      <c r="C230" s="6" t="s">
        <v>435</v>
      </c>
      <c r="D230" t="s">
        <v>484</v>
      </c>
      <c r="E230" s="2" cm="1">
        <f t="array" aca="1" ref="E230" ca="1">_FV(B230,"Price")</f>
        <v>242.53</v>
      </c>
      <c r="F230" s="1" cm="1">
        <f t="array" aca="1" ref="F230" ca="1">_FV(B230,"Change (%)",TRUE)</f>
        <v>2.6459999999999999E-3</v>
      </c>
      <c r="G230" s="3" cm="1">
        <f t="array" aca="1" ref="G230" ca="1">_FV(B230,"Market cap",TRUE)</f>
        <v>20299760000</v>
      </c>
    </row>
    <row r="231" spans="1:7" ht="18" x14ac:dyDescent="0.3">
      <c r="A231" t="s">
        <v>485</v>
      </c>
      <c r="B231" t="e" vm="18">
        <v>#VALUE!</v>
      </c>
      <c r="C231" s="6" t="s">
        <v>435</v>
      </c>
      <c r="D231" t="s">
        <v>486</v>
      </c>
      <c r="E231" s="2" cm="1">
        <f t="array" aca="1" ref="E231" ca="1">_FV(B231,"Price")</f>
        <v>92.64</v>
      </c>
      <c r="F231" s="1" cm="1">
        <f t="array" aca="1" ref="F231" ca="1">_FV(B231,"Change (%)",TRUE)</f>
        <v>1.0581E-2</v>
      </c>
      <c r="G231" s="3" cm="1">
        <f t="array" aca="1" ref="G231" ca="1">_FV(B231,"Market cap",TRUE)</f>
        <v>18328630000</v>
      </c>
    </row>
    <row r="232" spans="1:7" ht="18" x14ac:dyDescent="0.3">
      <c r="A232" t="s">
        <v>487</v>
      </c>
      <c r="B232" t="e" vm="275">
        <v>#VALUE!</v>
      </c>
      <c r="C232" s="6" t="s">
        <v>435</v>
      </c>
      <c r="D232" t="s">
        <v>488</v>
      </c>
      <c r="E232" s="2" cm="1">
        <f t="array" aca="1" ref="E232" ca="1">_FV(B232,"Price")</f>
        <v>171.23</v>
      </c>
      <c r="F232" s="1" cm="1">
        <f t="array" aca="1" ref="F232" ca="1">_FV(B232,"Change (%)",TRUE)</f>
        <v>9.4920000000000004E-3</v>
      </c>
      <c r="G232" s="3" cm="1">
        <f t="array" aca="1" ref="G232" ca="1">_FV(B232,"Market cap",TRUE)</f>
        <v>19115340000</v>
      </c>
    </row>
    <row r="233" spans="1:7" ht="18" x14ac:dyDescent="0.3">
      <c r="A233" t="s">
        <v>489</v>
      </c>
      <c r="B233" t="e" vm="276">
        <v>#VALUE!</v>
      </c>
      <c r="C233" s="6" t="s">
        <v>435</v>
      </c>
      <c r="D233" t="s">
        <v>490</v>
      </c>
      <c r="E233" s="2" cm="1">
        <f t="array" aca="1" ref="E233" ca="1">_FV(B233,"Price")</f>
        <v>305.23</v>
      </c>
      <c r="F233" s="1" cm="1">
        <f t="array" aca="1" ref="F233" ca="1">_FV(B233,"Change (%)",TRUE)</f>
        <v>-1.4656000000000001E-2</v>
      </c>
      <c r="G233" s="3" cm="1">
        <f t="array" aca="1" ref="G233" ca="1">_FV(B233,"Market cap",TRUE)</f>
        <v>16543470000</v>
      </c>
    </row>
    <row r="234" spans="1:7" ht="18" x14ac:dyDescent="0.3">
      <c r="A234" t="s">
        <v>491</v>
      </c>
      <c r="B234" t="e" vm="277">
        <v>#VALUE!</v>
      </c>
      <c r="C234" s="6" t="s">
        <v>435</v>
      </c>
      <c r="D234" t="s">
        <v>492</v>
      </c>
      <c r="E234" s="2" cm="1">
        <f t="array" aca="1" ref="E234" ca="1">_FV(B234,"Price")</f>
        <v>321.36</v>
      </c>
      <c r="F234" s="1" cm="1">
        <f t="array" aca="1" ref="F234" ca="1">_FV(B234,"Change (%)",TRUE)</f>
        <v>1.121E-3</v>
      </c>
      <c r="G234" s="3" cm="1">
        <f t="array" aca="1" ref="G234" ca="1">_FV(B234,"Market cap",TRUE)</f>
        <v>22615690000</v>
      </c>
    </row>
    <row r="235" spans="1:7" ht="18" x14ac:dyDescent="0.3">
      <c r="A235" t="s">
        <v>493</v>
      </c>
      <c r="B235" t="e" vm="278">
        <v>#VALUE!</v>
      </c>
      <c r="C235" s="6" t="s">
        <v>435</v>
      </c>
      <c r="D235" t="s">
        <v>494</v>
      </c>
      <c r="E235" s="2" cm="1">
        <f t="array" aca="1" ref="E235" ca="1">_FV(B235,"Price")</f>
        <v>30.12</v>
      </c>
      <c r="F235" s="1" cm="1">
        <f t="array" aca="1" ref="F235" ca="1">_FV(B235,"Change (%)",TRUE)</f>
        <v>-4.9550000000000002E-3</v>
      </c>
      <c r="G235" s="3" cm="1">
        <f t="array" aca="1" ref="G235" ca="1">_FV(B235,"Market cap",TRUE)</f>
        <v>15456820000</v>
      </c>
    </row>
    <row r="236" spans="1:7" ht="18" x14ac:dyDescent="0.3">
      <c r="A236" t="s">
        <v>495</v>
      </c>
      <c r="B236" t="e" vm="279">
        <v>#VALUE!</v>
      </c>
      <c r="C236" s="6" t="s">
        <v>435</v>
      </c>
      <c r="D236" t="s">
        <v>496</v>
      </c>
      <c r="E236" s="2" cm="1">
        <f t="array" aca="1" ref="E236" ca="1">_FV(B236,"Price")</f>
        <v>78.83</v>
      </c>
      <c r="F236" s="1" cm="1">
        <f t="array" aca="1" ref="F236" ca="1">_FV(B236,"Change (%)",TRUE)</f>
        <v>-5.927E-3</v>
      </c>
      <c r="G236" s="3" cm="1">
        <f t="array" aca="1" ref="G236" ca="1">_FV(B236,"Market cap",TRUE)</f>
        <v>15764520000</v>
      </c>
    </row>
    <row r="237" spans="1:7" ht="18" x14ac:dyDescent="0.3">
      <c r="A237" t="s">
        <v>497</v>
      </c>
      <c r="B237" t="e" vm="280">
        <v>#VALUE!</v>
      </c>
      <c r="C237" s="6" t="s">
        <v>435</v>
      </c>
      <c r="D237" t="s">
        <v>498</v>
      </c>
      <c r="E237" s="2" cm="1">
        <f t="array" aca="1" ref="E237" ca="1">_FV(B237,"Price")</f>
        <v>205.59</v>
      </c>
      <c r="F237" s="1" cm="1">
        <f t="array" aca="1" ref="F237" ca="1">_FV(B237,"Change (%)",TRUE)</f>
        <v>-1.391E-2</v>
      </c>
      <c r="G237" s="3" cm="1">
        <f t="array" aca="1" ref="G237" ca="1">_FV(B237,"Market cap",TRUE)</f>
        <v>14770690000</v>
      </c>
    </row>
    <row r="238" spans="1:7" ht="18" x14ac:dyDescent="0.3">
      <c r="A238" t="s">
        <v>499</v>
      </c>
      <c r="B238" t="e" vm="281">
        <v>#VALUE!</v>
      </c>
      <c r="C238" s="6" t="s">
        <v>435</v>
      </c>
      <c r="D238" t="s">
        <v>500</v>
      </c>
      <c r="E238" s="2" cm="1">
        <f t="array" aca="1" ref="E238" ca="1">_FV(B238,"Price")</f>
        <v>54.28</v>
      </c>
      <c r="F238" s="1" cm="1">
        <f t="array" aca="1" ref="F238" ca="1">_FV(B238,"Change (%)",TRUE)</f>
        <v>-3.6709999999999998E-3</v>
      </c>
      <c r="G238" s="3" cm="1">
        <f t="array" aca="1" ref="G238" ca="1">_FV(B238,"Market cap",TRUE)</f>
        <v>12096040000</v>
      </c>
    </row>
    <row r="239" spans="1:7" ht="18" x14ac:dyDescent="0.3">
      <c r="A239" t="s">
        <v>501</v>
      </c>
      <c r="B239" t="e" vm="282">
        <v>#VALUE!</v>
      </c>
      <c r="C239" s="6" t="s">
        <v>435</v>
      </c>
      <c r="D239" t="s">
        <v>502</v>
      </c>
      <c r="E239" s="2" cm="1">
        <f t="array" aca="1" ref="E239" ca="1">_FV(B239,"Price")</f>
        <v>89.33</v>
      </c>
      <c r="F239" s="1" cm="1">
        <f t="array" aca="1" ref="F239" ca="1">_FV(B239,"Change (%)",TRUE)</f>
        <v>-1.2709999999999999E-2</v>
      </c>
      <c r="G239" s="3" cm="1">
        <f t="array" aca="1" ref="G239" ca="1">_FV(B239,"Market cap",TRUE)</f>
        <v>10529300000</v>
      </c>
    </row>
    <row r="240" spans="1:7" ht="18" x14ac:dyDescent="0.3">
      <c r="A240" t="s">
        <v>503</v>
      </c>
      <c r="B240" t="e" vm="283">
        <v>#VALUE!</v>
      </c>
      <c r="C240" s="6" t="s">
        <v>435</v>
      </c>
      <c r="D240" t="s">
        <v>504</v>
      </c>
      <c r="E240" s="2" cm="1">
        <f t="array" aca="1" ref="E240" ca="1">_FV(B240,"Price")</f>
        <v>170.8</v>
      </c>
      <c r="F240" s="1" cm="1">
        <f t="array" aca="1" ref="F240" ca="1">_FV(B240,"Change (%)",TRUE)</f>
        <v>-1.0486000000000001E-2</v>
      </c>
      <c r="G240" s="3" cm="1">
        <f t="array" aca="1" ref="G240" ca="1">_FV(B240,"Market cap",TRUE)</f>
        <v>12380410000</v>
      </c>
    </row>
    <row r="241" spans="1:7" ht="18" x14ac:dyDescent="0.3">
      <c r="A241" t="s">
        <v>505</v>
      </c>
      <c r="B241" t="e" vm="284">
        <v>#VALUE!</v>
      </c>
      <c r="C241" s="6" t="s">
        <v>435</v>
      </c>
      <c r="D241" t="s">
        <v>506</v>
      </c>
      <c r="E241" s="2" cm="1">
        <f t="array" aca="1" ref="E241" ca="1">_FV(B241,"Price")</f>
        <v>70.81</v>
      </c>
      <c r="F241" s="1" cm="1">
        <f t="array" aca="1" ref="F241" ca="1">_FV(B241,"Change (%)",TRUE)</f>
        <v>-2.5461000000000001E-2</v>
      </c>
      <c r="G241" s="3" cm="1">
        <f t="array" aca="1" ref="G241" ca="1">_FV(B241,"Market cap",TRUE)</f>
        <v>12251040000</v>
      </c>
    </row>
    <row r="242" spans="1:7" ht="18" x14ac:dyDescent="0.3">
      <c r="A242" t="s">
        <v>507</v>
      </c>
      <c r="B242" t="e" vm="285">
        <v>#VALUE!</v>
      </c>
      <c r="C242" s="6" t="s">
        <v>435</v>
      </c>
      <c r="D242" t="s">
        <v>508</v>
      </c>
      <c r="E242" s="2" cm="1">
        <f t="array" aca="1" ref="E242" ca="1">_FV(B242,"Price")</f>
        <v>186.21</v>
      </c>
      <c r="F242" s="1" cm="1">
        <f t="array" aca="1" ref="F242" ca="1">_FV(B242,"Change (%)",TRUE)</f>
        <v>-2.3569999999999997E-3</v>
      </c>
      <c r="G242" s="3" cm="1">
        <f t="array" aca="1" ref="G242" ca="1">_FV(B242,"Market cap",TRUE)</f>
        <v>11999450000</v>
      </c>
    </row>
    <row r="243" spans="1:7" ht="18" x14ac:dyDescent="0.3">
      <c r="A243" t="s">
        <v>509</v>
      </c>
      <c r="B243" t="e" vm="286">
        <v>#VALUE!</v>
      </c>
      <c r="C243" s="6" t="s">
        <v>435</v>
      </c>
      <c r="D243" t="s">
        <v>510</v>
      </c>
      <c r="E243" s="2" cm="1">
        <f t="array" aca="1" ref="E243" ca="1">_FV(B243,"Price")</f>
        <v>71.650000000000006</v>
      </c>
      <c r="F243" s="1" cm="1">
        <f t="array" aca="1" ref="F243" ca="1">_FV(B243,"Change (%)",TRUE)</f>
        <v>4.4860000000000004E-3</v>
      </c>
      <c r="G243" s="3" cm="1">
        <f t="array" aca="1" ref="G243" ca="1">_FV(B243,"Market cap",TRUE)</f>
        <v>8956587000</v>
      </c>
    </row>
    <row r="244" spans="1:7" ht="18" x14ac:dyDescent="0.3">
      <c r="A244" t="s">
        <v>511</v>
      </c>
      <c r="B244" t="e" vm="287">
        <v>#VALUE!</v>
      </c>
      <c r="C244" s="6" t="s">
        <v>435</v>
      </c>
      <c r="D244" t="s">
        <v>512</v>
      </c>
      <c r="E244" s="2" cm="1">
        <f t="array" aca="1" ref="E244" ca="1">_FV(B244,"Price")</f>
        <v>138.19</v>
      </c>
      <c r="F244" s="1" cm="1">
        <f t="array" aca="1" ref="F244" ca="1">_FV(B244,"Change (%)",TRUE)</f>
        <v>-2.382E-3</v>
      </c>
      <c r="G244" s="3" cm="1">
        <f t="array" aca="1" ref="G244" ca="1">_FV(B244,"Market cap",TRUE)</f>
        <v>10433340000</v>
      </c>
    </row>
    <row r="245" spans="1:7" ht="18" x14ac:dyDescent="0.3">
      <c r="A245" t="s">
        <v>513</v>
      </c>
      <c r="B245" t="e" vm="288">
        <v>#VALUE!</v>
      </c>
      <c r="C245" s="6" t="s">
        <v>435</v>
      </c>
      <c r="D245" t="s">
        <v>514</v>
      </c>
      <c r="E245" s="2" cm="1">
        <f t="array" aca="1" ref="E245" ca="1">_FV(B245,"Price")</f>
        <v>120.78</v>
      </c>
      <c r="F245" s="1" cm="1">
        <f t="array" aca="1" ref="F245" ca="1">_FV(B245,"Change (%)",TRUE)</f>
        <v>-1.323E-3</v>
      </c>
      <c r="G245" s="3" cm="1">
        <f t="array" aca="1" ref="G245" ca="1">_FV(B245,"Market cap",TRUE)</f>
        <v>5337146000</v>
      </c>
    </row>
    <row r="246" spans="1:7" ht="18" x14ac:dyDescent="0.3">
      <c r="A246" t="s">
        <v>515</v>
      </c>
      <c r="B246" t="e" vm="289">
        <v>#VALUE!</v>
      </c>
      <c r="C246" s="7" t="s">
        <v>516</v>
      </c>
      <c r="D246" t="s">
        <v>517</v>
      </c>
      <c r="E246" s="2" cm="1">
        <f t="array" aca="1" ref="E246" ca="1">_FV(B246,"Price")</f>
        <v>104.04</v>
      </c>
      <c r="F246" s="1" cm="1">
        <f t="array" aca="1" ref="F246" ca="1">_FV(B246,"Change (%)",TRUE)</f>
        <v>-9.9909999999999999E-3</v>
      </c>
      <c r="G246" s="3" cm="1">
        <f t="array" aca="1" ref="G246" ca="1">_FV(B246,"Market cap",TRUE)</f>
        <v>96541420000</v>
      </c>
    </row>
    <row r="247" spans="1:7" ht="18" x14ac:dyDescent="0.3">
      <c r="A247" t="s">
        <v>518</v>
      </c>
      <c r="B247" t="e" vm="290">
        <v>#VALUE!</v>
      </c>
      <c r="C247" s="7" t="s">
        <v>516</v>
      </c>
      <c r="D247" t="s">
        <v>519</v>
      </c>
      <c r="E247" s="2" cm="1">
        <f t="array" aca="1" ref="E247" ca="1">_FV(B247,"Price")</f>
        <v>211.86</v>
      </c>
      <c r="F247" s="1" cm="1">
        <f t="array" aca="1" ref="F247" ca="1">_FV(B247,"Change (%)",TRUE)</f>
        <v>7.5620000000000001E-3</v>
      </c>
      <c r="G247" s="3" cm="1">
        <f t="array" aca="1" ref="G247" ca="1">_FV(B247,"Market cap",TRUE)</f>
        <v>99179770000</v>
      </c>
    </row>
    <row r="248" spans="1:7" ht="18" x14ac:dyDescent="0.3">
      <c r="A248" t="s">
        <v>520</v>
      </c>
      <c r="B248" t="e" vm="291">
        <v>#VALUE!</v>
      </c>
      <c r="C248" s="7" t="s">
        <v>516</v>
      </c>
      <c r="D248" t="s">
        <v>521</v>
      </c>
      <c r="E248" s="2" cm="1">
        <f t="array" aca="1" ref="E248" ca="1">_FV(B248,"Price")</f>
        <v>149.16999999999999</v>
      </c>
      <c r="F248" s="1" cm="1">
        <f t="array" aca="1" ref="F248" ca="1">_FV(B248,"Change (%)",TRUE)</f>
        <v>1.5453E-2</v>
      </c>
      <c r="G248" s="3" cm="1">
        <f t="array" aca="1" ref="G248" ca="1">_FV(B248,"Market cap",TRUE)</f>
        <v>97549950000</v>
      </c>
    </row>
    <row r="249" spans="1:7" ht="18" x14ac:dyDescent="0.3">
      <c r="A249" t="s">
        <v>522</v>
      </c>
      <c r="B249" t="e" vm="292">
        <v>#VALUE!</v>
      </c>
      <c r="C249" s="7" t="s">
        <v>516</v>
      </c>
      <c r="D249" t="s">
        <v>523</v>
      </c>
      <c r="E249" s="2" cm="1">
        <f t="array" aca="1" ref="E249" ca="1">_FV(B249,"Price")</f>
        <v>863.46</v>
      </c>
      <c r="F249" s="1" cm="1">
        <f t="array" aca="1" ref="F249" ca="1">_FV(B249,"Change (%)",TRUE)</f>
        <v>-3.5079999999999998E-3</v>
      </c>
      <c r="G249" s="3" cm="1">
        <f t="array" aca="1" ref="G249" ca="1">_FV(B249,"Market cap",TRUE)</f>
        <v>84462790000</v>
      </c>
    </row>
    <row r="250" spans="1:7" ht="18" x14ac:dyDescent="0.3">
      <c r="A250" t="s">
        <v>524</v>
      </c>
      <c r="B250" t="e" vm="293">
        <v>#VALUE!</v>
      </c>
      <c r="C250" s="7" t="s">
        <v>516</v>
      </c>
      <c r="D250" t="s">
        <v>525</v>
      </c>
      <c r="E250" s="2" cm="1">
        <f t="array" aca="1" ref="E250" ca="1">_FV(B250,"Price")</f>
        <v>156.77000000000001</v>
      </c>
      <c r="F250" s="1" cm="1">
        <f t="array" aca="1" ref="F250" ca="1">_FV(B250,"Change (%)",TRUE)</f>
        <v>-7.4710000000000002E-3</v>
      </c>
      <c r="G250" s="3" cm="1">
        <f t="array" aca="1" ref="G250" ca="1">_FV(B250,"Market cap",TRUE)</f>
        <v>51173650000</v>
      </c>
    </row>
    <row r="251" spans="1:7" ht="18" x14ac:dyDescent="0.3">
      <c r="A251" t="s">
        <v>526</v>
      </c>
      <c r="B251" t="e" vm="294">
        <v>#VALUE!</v>
      </c>
      <c r="C251" s="7" t="s">
        <v>516</v>
      </c>
      <c r="D251" t="s">
        <v>527</v>
      </c>
      <c r="E251" s="2" cm="1">
        <f t="array" aca="1" ref="E251" ca="1">_FV(B251,"Price")</f>
        <v>55.53</v>
      </c>
      <c r="F251" s="1" cm="1">
        <f t="array" aca="1" ref="F251" ca="1">_FV(B251,"Change (%)",TRUE)</f>
        <v>6.3429999999999997E-3</v>
      </c>
      <c r="G251" s="3" cm="1">
        <f t="array" aca="1" ref="G251" ca="1">_FV(B251,"Market cap",TRUE)</f>
        <v>50148030000</v>
      </c>
    </row>
    <row r="252" spans="1:7" ht="18" x14ac:dyDescent="0.3">
      <c r="A252" t="s">
        <v>528</v>
      </c>
      <c r="B252" t="e" vm="295">
        <v>#VALUE!</v>
      </c>
      <c r="C252" s="7" t="s">
        <v>516</v>
      </c>
      <c r="D252" t="s">
        <v>529</v>
      </c>
      <c r="E252" s="2" cm="1">
        <f t="array" aca="1" ref="E252" ca="1">_FV(B252,"Price")</f>
        <v>296.7</v>
      </c>
      <c r="F252" s="1" cm="1">
        <f t="array" aca="1" ref="F252" ca="1">_FV(B252,"Change (%)",TRUE)</f>
        <v>3.1099999999999999E-3</v>
      </c>
      <c r="G252" s="3" cm="1">
        <f t="array" aca="1" ref="G252" ca="1">_FV(B252,"Market cap",TRUE)</f>
        <v>52050480000</v>
      </c>
    </row>
    <row r="253" spans="1:7" ht="18" x14ac:dyDescent="0.3">
      <c r="A253" t="s">
        <v>530</v>
      </c>
      <c r="B253" t="e" vm="296">
        <v>#VALUE!</v>
      </c>
      <c r="C253" s="7" t="s">
        <v>516</v>
      </c>
      <c r="D253" t="s">
        <v>531</v>
      </c>
      <c r="E253" s="2" cm="1">
        <f t="array" aca="1" ref="E253" ca="1">_FV(B253,"Price")</f>
        <v>168.12</v>
      </c>
      <c r="F253" s="1" cm="1">
        <f t="array" aca="1" ref="F253" ca="1">_FV(B253,"Change (%)",TRUE)</f>
        <v>1.0119999999999999E-3</v>
      </c>
      <c r="G253" s="3" cm="1">
        <f t="array" aca="1" ref="G253" ca="1">_FV(B253,"Market cap",TRUE)</f>
        <v>56614200000</v>
      </c>
    </row>
    <row r="254" spans="1:7" ht="18" x14ac:dyDescent="0.3">
      <c r="A254" t="s">
        <v>532</v>
      </c>
      <c r="B254" t="e" vm="297">
        <v>#VALUE!</v>
      </c>
      <c r="C254" s="7" t="s">
        <v>516</v>
      </c>
      <c r="D254" t="s">
        <v>533</v>
      </c>
      <c r="E254" s="2" cm="1">
        <f t="array" aca="1" ref="E254" ca="1">_FV(B254,"Price")</f>
        <v>100.16</v>
      </c>
      <c r="F254" s="1" cm="1">
        <f t="array" aca="1" ref="F254" ca="1">_FV(B254,"Change (%)",TRUE)</f>
        <v>2.4020000000000001E-3</v>
      </c>
      <c r="G254" s="3" cm="1">
        <f t="array" aca="1" ref="G254" ca="1">_FV(B254,"Market cap",TRUE)</f>
        <v>43615550000</v>
      </c>
    </row>
    <row r="255" spans="1:7" ht="18" x14ac:dyDescent="0.3">
      <c r="A255" t="s">
        <v>534</v>
      </c>
      <c r="B255" t="e" vm="298">
        <v>#VALUE!</v>
      </c>
      <c r="C255" s="7" t="s">
        <v>516</v>
      </c>
      <c r="D255" t="s">
        <v>535</v>
      </c>
      <c r="E255" s="2" cm="1">
        <f t="array" aca="1" ref="E255" ca="1">_FV(B255,"Price")</f>
        <v>121.13</v>
      </c>
      <c r="F255" s="1" cm="1">
        <f t="array" aca="1" ref="F255" ca="1">_FV(B255,"Change (%)",TRUE)</f>
        <v>5.8130000000000005E-3</v>
      </c>
      <c r="G255" s="3" cm="1">
        <f t="array" aca="1" ref="G255" ca="1">_FV(B255,"Market cap",TRUE)</f>
        <v>36109440000</v>
      </c>
    </row>
    <row r="256" spans="1:7" ht="18" x14ac:dyDescent="0.3">
      <c r="A256" t="s">
        <v>536</v>
      </c>
      <c r="B256" t="e" vm="299">
        <v>#VALUE!</v>
      </c>
      <c r="C256" s="7" t="s">
        <v>516</v>
      </c>
      <c r="D256" t="s">
        <v>537</v>
      </c>
      <c r="E256" s="2" cm="1">
        <f t="array" aca="1" ref="E256" ca="1">_FV(B256,"Price")</f>
        <v>118.65</v>
      </c>
      <c r="F256" s="1" cm="1">
        <f t="array" aca="1" ref="F256" ca="1">_FV(B256,"Change (%)",TRUE)</f>
        <v>-2.1029999999999998E-3</v>
      </c>
      <c r="G256" s="3" cm="1">
        <f t="array" aca="1" ref="G256" ca="1">_FV(B256,"Market cap",TRUE)</f>
        <v>36447060000</v>
      </c>
    </row>
    <row r="257" spans="1:7" ht="18" x14ac:dyDescent="0.3">
      <c r="A257" t="s">
        <v>538</v>
      </c>
      <c r="B257" t="e" vm="300">
        <v>#VALUE!</v>
      </c>
      <c r="C257" s="7" t="s">
        <v>516</v>
      </c>
      <c r="D257" t="s">
        <v>539</v>
      </c>
      <c r="E257" s="2" cm="1">
        <f t="array" aca="1" ref="E257" ca="1">_FV(B257,"Price")</f>
        <v>31.47</v>
      </c>
      <c r="F257" s="1" cm="1">
        <f t="array" aca="1" ref="F257" ca="1">_FV(B257,"Change (%)",TRUE)</f>
        <v>8.6540000000000002E-3</v>
      </c>
      <c r="G257" s="3" cm="1">
        <f t="array" aca="1" ref="G257" ca="1">_FV(B257,"Market cap",TRUE)</f>
        <v>33254570000</v>
      </c>
    </row>
    <row r="258" spans="1:7" ht="18" x14ac:dyDescent="0.3">
      <c r="A258" t="s">
        <v>540</v>
      </c>
      <c r="B258" t="e" vm="301">
        <v>#VALUE!</v>
      </c>
      <c r="C258" s="7" t="s">
        <v>516</v>
      </c>
      <c r="D258" t="s">
        <v>541</v>
      </c>
      <c r="E258" s="2" cm="1">
        <f t="array" aca="1" ref="E258" ca="1">_FV(B258,"Price")</f>
        <v>145.72999999999999</v>
      </c>
      <c r="F258" s="1" cm="1">
        <f t="array" aca="1" ref="F258" ca="1">_FV(B258,"Change (%)",TRUE)</f>
        <v>6.5620000000000001E-3</v>
      </c>
      <c r="G258" s="3" cm="1">
        <f t="array" aca="1" ref="G258" ca="1">_FV(B258,"Market cap",TRUE)</f>
        <v>30925490000</v>
      </c>
    </row>
    <row r="259" spans="1:7" ht="18" x14ac:dyDescent="0.3">
      <c r="A259" t="s">
        <v>542</v>
      </c>
      <c r="B259" t="e" vm="302">
        <v>#VALUE!</v>
      </c>
      <c r="C259" s="7" t="s">
        <v>516</v>
      </c>
      <c r="D259" t="s">
        <v>543</v>
      </c>
      <c r="E259" s="2" cm="1">
        <f t="array" aca="1" ref="E259" ca="1">_FV(B259,"Price")</f>
        <v>198.03</v>
      </c>
      <c r="F259" s="1" cm="1">
        <f t="array" aca="1" ref="F259" ca="1">_FV(B259,"Change (%)",TRUE)</f>
        <v>-9.1559999999999992E-3</v>
      </c>
      <c r="G259" s="3" cm="1">
        <f t="array" aca="1" ref="G259" ca="1">_FV(B259,"Market cap",TRUE)</f>
        <v>28193170000</v>
      </c>
    </row>
    <row r="260" spans="1:7" ht="18" x14ac:dyDescent="0.3">
      <c r="A260" t="s">
        <v>544</v>
      </c>
      <c r="B260" t="e" vm="303">
        <v>#VALUE!</v>
      </c>
      <c r="C260" s="7" t="s">
        <v>516</v>
      </c>
      <c r="D260" t="s">
        <v>545</v>
      </c>
      <c r="E260" s="2" cm="1">
        <f t="array" aca="1" ref="E260" ca="1">_FV(B260,"Price")</f>
        <v>105.18</v>
      </c>
      <c r="F260" s="1" cm="1">
        <f t="array" aca="1" ref="F260" ca="1">_FV(B260,"Change (%)",TRUE)</f>
        <v>-1.0449999999999999E-3</v>
      </c>
      <c r="G260" s="3" cm="1">
        <f t="array" aca="1" ref="G260" ca="1">_FV(B260,"Market cap",TRUE)</f>
        <v>27607740000</v>
      </c>
    </row>
    <row r="261" spans="1:7" ht="18" x14ac:dyDescent="0.3">
      <c r="A261" t="s">
        <v>546</v>
      </c>
      <c r="B261" t="e" vm="304">
        <v>#VALUE!</v>
      </c>
      <c r="C261" s="7" t="s">
        <v>516</v>
      </c>
      <c r="D261" t="s">
        <v>547</v>
      </c>
      <c r="E261" s="2" cm="1">
        <f t="array" aca="1" ref="E261" ca="1">_FV(B261,"Price")</f>
        <v>64.12</v>
      </c>
      <c r="F261" s="1" cm="1">
        <f t="array" aca="1" ref="F261" ca="1">_FV(B261,"Change (%)",TRUE)</f>
        <v>7.3839999999999991E-3</v>
      </c>
      <c r="G261" s="3" cm="1">
        <f t="array" aca="1" ref="G261" ca="1">_FV(B261,"Market cap",TRUE)</f>
        <v>28937250000</v>
      </c>
    </row>
    <row r="262" spans="1:7" ht="18" x14ac:dyDescent="0.3">
      <c r="A262" t="s">
        <v>548</v>
      </c>
      <c r="B262" t="e" vm="305">
        <v>#VALUE!</v>
      </c>
      <c r="C262" s="7" t="s">
        <v>516</v>
      </c>
      <c r="D262" t="s">
        <v>549</v>
      </c>
      <c r="E262" s="2" cm="1">
        <f t="array" aca="1" ref="E262" ca="1">_FV(B262,"Price")</f>
        <v>67.61</v>
      </c>
      <c r="F262" s="1" cm="1">
        <f t="array" aca="1" ref="F262" ca="1">_FV(B262,"Change (%)",TRUE)</f>
        <v>-1.0102E-2</v>
      </c>
      <c r="G262" s="3" cm="1">
        <f t="array" aca="1" ref="G262" ca="1">_FV(B262,"Market cap",TRUE)</f>
        <v>25687990000</v>
      </c>
    </row>
    <row r="263" spans="1:7" ht="18" x14ac:dyDescent="0.3">
      <c r="A263" t="s">
        <v>550</v>
      </c>
      <c r="B263" t="e" vm="306">
        <v>#VALUE!</v>
      </c>
      <c r="C263" s="7" t="s">
        <v>516</v>
      </c>
      <c r="D263" t="s">
        <v>551</v>
      </c>
      <c r="E263" s="2" cm="1">
        <f t="array" aca="1" ref="E263" ca="1">_FV(B263,"Price")</f>
        <v>96.21</v>
      </c>
      <c r="F263" s="1" cm="1">
        <f t="array" aca="1" ref="F263" ca="1">_FV(B263,"Change (%)",TRUE)</f>
        <v>4.28E-3</v>
      </c>
      <c r="G263" s="3" cm="1">
        <f t="array" aca="1" ref="G263" ca="1">_FV(B263,"Market cap",TRUE)</f>
        <v>28378890000</v>
      </c>
    </row>
    <row r="264" spans="1:7" ht="18" x14ac:dyDescent="0.3">
      <c r="A264" t="s">
        <v>552</v>
      </c>
      <c r="B264" t="e" vm="307">
        <v>#VALUE!</v>
      </c>
      <c r="C264" s="7" t="s">
        <v>516</v>
      </c>
      <c r="D264" t="s">
        <v>553</v>
      </c>
      <c r="E264" s="2" cm="1">
        <f t="array" aca="1" ref="E264" ca="1">_FV(B264,"Price")</f>
        <v>229.52</v>
      </c>
      <c r="F264" s="1" cm="1">
        <f t="array" aca="1" ref="F264" ca="1">_FV(B264,"Change (%)",TRUE)</f>
        <v>5.476E-3</v>
      </c>
      <c r="G264" s="3" cm="1">
        <f t="array" aca="1" ref="G264" ca="1">_FV(B264,"Market cap",TRUE)</f>
        <v>24662330000</v>
      </c>
    </row>
    <row r="265" spans="1:7" ht="18" x14ac:dyDescent="0.3">
      <c r="A265" t="s">
        <v>554</v>
      </c>
      <c r="B265" t="e" vm="308">
        <v>#VALUE!</v>
      </c>
      <c r="C265" s="7" t="s">
        <v>516</v>
      </c>
      <c r="D265" t="s">
        <v>555</v>
      </c>
      <c r="E265" s="2" cm="1">
        <f t="array" aca="1" ref="E265" ca="1">_FV(B265,"Price")</f>
        <v>7066.39</v>
      </c>
      <c r="F265" s="1" cm="1">
        <f t="array" aca="1" ref="F265" ca="1">_FV(B265,"Change (%)",TRUE)</f>
        <v>-6.8019999999999995E-4</v>
      </c>
      <c r="G265" s="3" cm="1">
        <f t="array" aca="1" ref="G265" ca="1">_FV(B265,"Market cap",TRUE)</f>
        <v>20660930000</v>
      </c>
    </row>
    <row r="266" spans="1:7" ht="18" x14ac:dyDescent="0.3">
      <c r="A266" t="s">
        <v>556</v>
      </c>
      <c r="B266" t="e" vm="309">
        <v>#VALUE!</v>
      </c>
      <c r="C266" s="7" t="s">
        <v>516</v>
      </c>
      <c r="D266" t="s">
        <v>557</v>
      </c>
      <c r="E266" s="2" cm="1">
        <f t="array" aca="1" ref="E266" ca="1">_FV(B266,"Price")</f>
        <v>98.21</v>
      </c>
      <c r="F266" s="1" cm="1">
        <f t="array" aca="1" ref="F266" ca="1">_FV(B266,"Change (%)",TRUE)</f>
        <v>-3.7530000000000003E-3</v>
      </c>
      <c r="G266" s="3" cm="1">
        <f t="array" aca="1" ref="G266" ca="1">_FV(B266,"Market cap",TRUE)</f>
        <v>19683950000</v>
      </c>
    </row>
    <row r="267" spans="1:7" ht="18" x14ac:dyDescent="0.3">
      <c r="A267" t="s">
        <v>558</v>
      </c>
      <c r="B267" t="e" vm="310">
        <v>#VALUE!</v>
      </c>
      <c r="C267" s="7" t="s">
        <v>516</v>
      </c>
      <c r="D267" t="s">
        <v>559</v>
      </c>
      <c r="E267" s="2" cm="1">
        <f t="array" aca="1" ref="E267" ca="1">_FV(B267,"Price")</f>
        <v>25.23</v>
      </c>
      <c r="F267" s="1" cm="1">
        <f t="array" aca="1" ref="F267" ca="1">_FV(B267,"Change (%)",TRUE)</f>
        <v>-7.9210000000000001E-4</v>
      </c>
      <c r="G267" s="3" cm="1">
        <f t="array" aca="1" ref="G267" ca="1">_FV(B267,"Market cap",TRUE)</f>
        <v>18298640000</v>
      </c>
    </row>
    <row r="268" spans="1:7" ht="18" x14ac:dyDescent="0.3">
      <c r="A268" t="s">
        <v>560</v>
      </c>
      <c r="B268" t="e" vm="311">
        <v>#VALUE!</v>
      </c>
      <c r="C268" s="7" t="s">
        <v>516</v>
      </c>
      <c r="D268" t="s">
        <v>561</v>
      </c>
      <c r="E268" s="2" cm="1">
        <f t="array" aca="1" ref="E268" ca="1">_FV(B268,"Price")</f>
        <v>152.76</v>
      </c>
      <c r="F268" s="1" cm="1">
        <f t="array" aca="1" ref="F268" ca="1">_FV(B268,"Change (%)",TRUE)</f>
        <v>-1.0685999999999999E-2</v>
      </c>
      <c r="G268" s="3" cm="1">
        <f t="array" aca="1" ref="G268" ca="1">_FV(B268,"Market cap",TRUE)</f>
        <v>17881740000</v>
      </c>
    </row>
    <row r="269" spans="1:7" ht="18" x14ac:dyDescent="0.3">
      <c r="A269" t="s">
        <v>562</v>
      </c>
      <c r="B269" t="e" vm="312">
        <v>#VALUE!</v>
      </c>
      <c r="C269" s="7" t="s">
        <v>516</v>
      </c>
      <c r="D269" t="s">
        <v>563</v>
      </c>
      <c r="E269" s="2" cm="1">
        <f t="array" aca="1" ref="E269" ca="1">_FV(B269,"Price")</f>
        <v>269.47000000000003</v>
      </c>
      <c r="F269" s="1" cm="1">
        <f t="array" aca="1" ref="F269" ca="1">_FV(B269,"Change (%)",TRUE)</f>
        <v>-1.5671000000000001E-2</v>
      </c>
      <c r="G269" s="3" cm="1">
        <f t="array" aca="1" ref="G269" ca="1">_FV(B269,"Market cap",TRUE)</f>
        <v>17333810000</v>
      </c>
    </row>
    <row r="270" spans="1:7" ht="18" x14ac:dyDescent="0.3">
      <c r="A270" t="s">
        <v>564</v>
      </c>
      <c r="B270" t="e" vm="313">
        <v>#VALUE!</v>
      </c>
      <c r="C270" s="7" t="s">
        <v>516</v>
      </c>
      <c r="D270" t="s">
        <v>565</v>
      </c>
      <c r="E270" s="2" cm="1">
        <f t="array" aca="1" ref="E270" ca="1">_FV(B270,"Price")</f>
        <v>33.01</v>
      </c>
      <c r="F270" s="1" cm="1">
        <f t="array" aca="1" ref="F270" ca="1">_FV(B270,"Change (%)",TRUE)</f>
        <v>-2.7189999999999996E-3</v>
      </c>
      <c r="G270" s="3" cm="1">
        <f t="array" aca="1" ref="G270" ca="1">_FV(B270,"Market cap",TRUE)</f>
        <v>20231300000</v>
      </c>
    </row>
    <row r="271" spans="1:7" ht="18" x14ac:dyDescent="0.3">
      <c r="A271" t="s">
        <v>566</v>
      </c>
      <c r="B271" t="e" vm="314">
        <v>#VALUE!</v>
      </c>
      <c r="C271" s="7" t="s">
        <v>516</v>
      </c>
      <c r="D271" t="s">
        <v>567</v>
      </c>
      <c r="E271" s="2" cm="1">
        <f t="array" aca="1" ref="E271" ca="1">_FV(B271,"Price")</f>
        <v>61.79</v>
      </c>
      <c r="F271" s="1" cm="1">
        <f t="array" aca="1" ref="F271" ca="1">_FV(B271,"Change (%)",TRUE)</f>
        <v>-9.299E-3</v>
      </c>
      <c r="G271" s="3" cm="1">
        <f t="array" aca="1" ref="G271" ca="1">_FV(B271,"Market cap",TRUE)</f>
        <v>13034110000</v>
      </c>
    </row>
    <row r="272" spans="1:7" ht="18" x14ac:dyDescent="0.3">
      <c r="A272" t="s">
        <v>568</v>
      </c>
      <c r="B272" t="e" vm="315">
        <v>#VALUE!</v>
      </c>
      <c r="C272" s="7" t="s">
        <v>516</v>
      </c>
      <c r="D272" t="s">
        <v>569</v>
      </c>
      <c r="E272" s="2" cm="1">
        <f t="array" aca="1" ref="E272" ca="1">_FV(B272,"Price")</f>
        <v>67.83</v>
      </c>
      <c r="F272" s="1" cm="1">
        <f t="array" aca="1" ref="F272" ca="1">_FV(B272,"Change (%)",TRUE)</f>
        <v>-1.1369000000000001E-2</v>
      </c>
      <c r="G272" s="3" cm="1">
        <f t="array" aca="1" ref="G272" ca="1">_FV(B272,"Market cap",TRUE)</f>
        <v>11733830000</v>
      </c>
    </row>
    <row r="273" spans="1:7" ht="18" x14ac:dyDescent="0.3">
      <c r="A273" t="s">
        <v>570</v>
      </c>
      <c r="B273" t="e" vm="316">
        <v>#VALUE!</v>
      </c>
      <c r="C273" s="7" t="s">
        <v>516</v>
      </c>
      <c r="D273" t="s">
        <v>571</v>
      </c>
      <c r="E273" s="2" cm="1">
        <f t="array" aca="1" ref="E273" ca="1">_FV(B273,"Price")</f>
        <v>108.33</v>
      </c>
      <c r="F273" s="1" cm="1">
        <f t="array" aca="1" ref="F273" ca="1">_FV(B273,"Change (%)",TRUE)</f>
        <v>-1.3747000000000001E-2</v>
      </c>
      <c r="G273" s="3" cm="1">
        <f t="array" aca="1" ref="G273" ca="1">_FV(B273,"Market cap",TRUE)</f>
        <v>11972070000</v>
      </c>
    </row>
    <row r="274" spans="1:7" ht="18" x14ac:dyDescent="0.3">
      <c r="A274" t="s">
        <v>572</v>
      </c>
      <c r="B274" t="e" vm="317">
        <v>#VALUE!</v>
      </c>
      <c r="C274" s="7" t="s">
        <v>516</v>
      </c>
      <c r="D274" t="s">
        <v>573</v>
      </c>
      <c r="E274" s="2" cm="1">
        <f t="array" aca="1" ref="E274" ca="1">_FV(B274,"Price")</f>
        <v>20.48</v>
      </c>
      <c r="F274" s="1" cm="1">
        <f t="array" aca="1" ref="F274" ca="1">_FV(B274,"Change (%)",TRUE)</f>
        <v>-6.3080000000000002E-3</v>
      </c>
      <c r="G274" s="3" cm="1">
        <f t="array" aca="1" ref="G274" ca="1">_FV(B274,"Market cap",TRUE)</f>
        <v>13854640000</v>
      </c>
    </row>
    <row r="275" spans="1:7" ht="18" x14ac:dyDescent="0.3">
      <c r="A275" t="s">
        <v>574</v>
      </c>
      <c r="B275" t="e" vm="318">
        <v>#VALUE!</v>
      </c>
      <c r="C275" s="7" t="s">
        <v>516</v>
      </c>
      <c r="D275" t="s">
        <v>575</v>
      </c>
      <c r="E275" s="2" cm="1">
        <f t="array" aca="1" ref="E275" ca="1">_FV(B275,"Price")</f>
        <v>16.84</v>
      </c>
      <c r="F275" s="1" cm="1">
        <f t="array" aca="1" ref="F275" ca="1">_FV(B275,"Change (%)",TRUE)</f>
        <v>1.189E-3</v>
      </c>
      <c r="G275" s="3" cm="1">
        <f t="array" aca="1" ref="G275" ca="1">_FV(B275,"Market cap",TRUE)</f>
        <v>11699290000</v>
      </c>
    </row>
    <row r="276" spans="1:7" ht="18" x14ac:dyDescent="0.3">
      <c r="A276" t="s">
        <v>576</v>
      </c>
      <c r="B276" t="e" vm="319">
        <v>#VALUE!</v>
      </c>
      <c r="C276" s="7" t="s">
        <v>516</v>
      </c>
      <c r="D276" t="s">
        <v>577</v>
      </c>
      <c r="E276" s="2" cm="1">
        <f t="array" aca="1" ref="E276" ca="1">_FV(B276,"Price")</f>
        <v>39.47</v>
      </c>
      <c r="F276" s="1" cm="1">
        <f t="array" aca="1" ref="F276" ca="1">_FV(B276,"Change (%)",TRUE)</f>
        <v>-1.5710999999999999E-2</v>
      </c>
      <c r="G276" s="3" cm="1">
        <f t="array" aca="1" ref="G276" ca="1">_FV(B276,"Market cap",TRUE)</f>
        <v>13076250000</v>
      </c>
    </row>
    <row r="277" spans="1:7" ht="18" x14ac:dyDescent="0.3">
      <c r="A277" t="s">
        <v>578</v>
      </c>
      <c r="B277" t="e" vm="320">
        <v>#VALUE!</v>
      </c>
      <c r="C277" s="7" t="s">
        <v>516</v>
      </c>
      <c r="D277" t="s">
        <v>579</v>
      </c>
      <c r="E277" s="2" cm="1">
        <f t="array" aca="1" ref="E277" ca="1">_FV(B277,"Price")</f>
        <v>113.03</v>
      </c>
      <c r="F277" s="1" cm="1">
        <f t="array" aca="1" ref="F277" ca="1">_FV(B277,"Change (%)",TRUE)</f>
        <v>-1.1976000000000001E-2</v>
      </c>
      <c r="G277" s="3" cm="1">
        <f t="array" aca="1" ref="G277" ca="1">_FV(B277,"Market cap",TRUE)</f>
        <v>12075900000</v>
      </c>
    </row>
    <row r="278" spans="1:7" ht="18" x14ac:dyDescent="0.3">
      <c r="A278" t="s">
        <v>580</v>
      </c>
      <c r="B278" t="e" vm="321">
        <v>#VALUE!</v>
      </c>
      <c r="C278" s="7" t="s">
        <v>516</v>
      </c>
      <c r="D278" t="s">
        <v>581</v>
      </c>
      <c r="E278" s="2" cm="1">
        <f t="array" aca="1" ref="E278" ca="1">_FV(B278,"Price")</f>
        <v>71.010000000000005</v>
      </c>
      <c r="F278" s="1" cm="1">
        <f t="array" aca="1" ref="F278" ca="1">_FV(B278,"Change (%)",TRUE)</f>
        <v>-9.8480000000000009E-4</v>
      </c>
      <c r="G278" s="3" cm="1">
        <f t="array" aca="1" ref="G278" ca="1">_FV(B278,"Market cap",TRUE)</f>
        <v>12890390000</v>
      </c>
    </row>
    <row r="279" spans="1:7" ht="18" x14ac:dyDescent="0.3">
      <c r="A279" t="s">
        <v>582</v>
      </c>
      <c r="B279" t="e" vm="322">
        <v>#VALUE!</v>
      </c>
      <c r="C279" s="7" t="s">
        <v>516</v>
      </c>
      <c r="D279" t="s">
        <v>583</v>
      </c>
      <c r="E279" s="2" cm="1">
        <f t="array" aca="1" ref="E279" ca="1">_FV(B279,"Price")</f>
        <v>14.7</v>
      </c>
      <c r="F279" s="1" cm="1">
        <f t="array" aca="1" ref="F279" ca="1">_FV(B279,"Change (%)",TRUE)</f>
        <v>-8.7660000000000012E-3</v>
      </c>
      <c r="G279" s="3" cm="1">
        <f t="array" aca="1" ref="G279" ca="1">_FV(B279,"Market cap",TRUE)</f>
        <v>10197600000</v>
      </c>
    </row>
    <row r="280" spans="1:7" ht="18" x14ac:dyDescent="0.3">
      <c r="A280" t="s">
        <v>584</v>
      </c>
      <c r="B280" t="e" vm="323">
        <v>#VALUE!</v>
      </c>
      <c r="C280" s="7" t="s">
        <v>516</v>
      </c>
      <c r="D280" t="s">
        <v>585</v>
      </c>
      <c r="E280" s="2" cm="1">
        <f t="array" aca="1" ref="E280" ca="1">_FV(B280,"Price")</f>
        <v>64.61</v>
      </c>
      <c r="F280" s="1" cm="1">
        <f t="array" aca="1" ref="F280" ca="1">_FV(B280,"Change (%)",TRUE)</f>
        <v>-3.0949999999999999E-4</v>
      </c>
      <c r="G280" s="3" cm="1">
        <f t="array" aca="1" ref="G280" ca="1">_FV(B280,"Market cap",TRUE)</f>
        <v>10229350000</v>
      </c>
    </row>
    <row r="281" spans="1:7" ht="18" x14ac:dyDescent="0.3">
      <c r="A281" t="s">
        <v>586</v>
      </c>
      <c r="B281" t="e" vm="324">
        <v>#VALUE!</v>
      </c>
      <c r="C281" s="7" t="s">
        <v>516</v>
      </c>
      <c r="D281" t="s">
        <v>587</v>
      </c>
      <c r="E281" s="2" cm="1">
        <f t="array" aca="1" ref="E281" ca="1">_FV(B281,"Price")</f>
        <v>92.56</v>
      </c>
      <c r="F281" s="1" cm="1">
        <f t="array" aca="1" ref="F281" ca="1">_FV(B281,"Change (%)",TRUE)</f>
        <v>-1.1745E-2</v>
      </c>
      <c r="G281" s="3" cm="1">
        <f t="array" aca="1" ref="G281" ca="1">_FV(B281,"Market cap",TRUE)</f>
        <v>7984294000</v>
      </c>
    </row>
    <row r="282" spans="1:7" ht="18" x14ac:dyDescent="0.3">
      <c r="A282" t="s">
        <v>588</v>
      </c>
      <c r="B282" t="e" vm="325">
        <v>#VALUE!</v>
      </c>
      <c r="C282" s="7" t="s">
        <v>589</v>
      </c>
      <c r="D282" t="s">
        <v>590</v>
      </c>
      <c r="E282" s="2" cm="1">
        <f t="array" aca="1" ref="E282" ca="1">_FV(B282,"Price")</f>
        <v>314.57</v>
      </c>
      <c r="F282" s="1" cm="1">
        <f t="array" aca="1" ref="F282" ca="1">_FV(B282,"Change (%)",TRUE)</f>
        <v>8.2720000000000005E-4</v>
      </c>
      <c r="G282" s="3" cm="1">
        <f t="array" aca="1" ref="G282" ca="1">_FV(B282,"Market cap",TRUE)</f>
        <v>224927800000</v>
      </c>
    </row>
    <row r="283" spans="1:7" ht="18" x14ac:dyDescent="0.3">
      <c r="A283" t="s">
        <v>591</v>
      </c>
      <c r="B283" t="e" vm="326">
        <v>#VALUE!</v>
      </c>
      <c r="C283" s="7" t="s">
        <v>589</v>
      </c>
      <c r="D283" t="s">
        <v>592</v>
      </c>
      <c r="E283" s="2" cm="1">
        <f t="array" aca="1" ref="E283" ca="1">_FV(B283,"Price")</f>
        <v>5332.8</v>
      </c>
      <c r="F283" s="1" cm="1">
        <f t="array" aca="1" ref="F283" ca="1">_FV(B283,"Change (%)",TRUE)</f>
        <v>-1.7050000000000001E-3</v>
      </c>
      <c r="G283" s="3" cm="1">
        <f t="array" aca="1" ref="G283" ca="1">_FV(B283,"Market cap",TRUE)</f>
        <v>173531100000</v>
      </c>
    </row>
    <row r="284" spans="1:7" ht="18" x14ac:dyDescent="0.3">
      <c r="A284" t="s">
        <v>593</v>
      </c>
      <c r="B284" t="e" vm="10">
        <v>#VALUE!</v>
      </c>
      <c r="C284" s="7" t="s">
        <v>589</v>
      </c>
      <c r="D284" t="s">
        <v>594</v>
      </c>
      <c r="E284" s="2" cm="1">
        <f t="array" aca="1" ref="E284" ca="1">_FV(B284,"Price")</f>
        <v>84.4</v>
      </c>
      <c r="F284" s="1" cm="1">
        <f t="array" aca="1" ref="F284" ca="1">_FV(B284,"Change (%)",TRUE)</f>
        <v>5.1209999999999997E-3</v>
      </c>
      <c r="G284" s="3" cm="1">
        <f t="array" aca="1" ref="G284" ca="1">_FV(B284,"Market cap",TRUE)</f>
        <v>95912160000</v>
      </c>
    </row>
    <row r="285" spans="1:7" ht="18" x14ac:dyDescent="0.3">
      <c r="A285" t="s">
        <v>595</v>
      </c>
      <c r="B285" t="e" vm="327">
        <v>#VALUE!</v>
      </c>
      <c r="C285" s="7" t="s">
        <v>589</v>
      </c>
      <c r="D285" t="s">
        <v>596</v>
      </c>
      <c r="E285" s="2" cm="1">
        <f t="array" aca="1" ref="E285" ca="1">_FV(B285,"Price")</f>
        <v>50.63</v>
      </c>
      <c r="F285" s="1" cm="1">
        <f t="array" aca="1" ref="F285" ca="1">_FV(B285,"Change (%)",TRUE)</f>
        <v>-2.954E-3</v>
      </c>
      <c r="G285" s="3" cm="1">
        <f t="array" aca="1" ref="G285" ca="1">_FV(B285,"Market cap",TRUE)</f>
        <v>68217040000</v>
      </c>
    </row>
    <row r="286" spans="1:7" ht="18" x14ac:dyDescent="0.3">
      <c r="A286" t="s">
        <v>597</v>
      </c>
      <c r="B286" t="e" vm="328">
        <v>#VALUE!</v>
      </c>
      <c r="C286" s="7" t="s">
        <v>589</v>
      </c>
      <c r="D286" t="s">
        <v>598</v>
      </c>
      <c r="E286" s="2" cm="1">
        <f t="array" aca="1" ref="E286" ca="1">_FV(B286,"Price")</f>
        <v>244.77</v>
      </c>
      <c r="F286" s="1" cm="1">
        <f t="array" aca="1" ref="F286" ca="1">_FV(B286,"Change (%)",TRUE)</f>
        <v>-6.9779999999999998E-3</v>
      </c>
      <c r="G286" s="3" cm="1">
        <f t="array" aca="1" ref="G286" ca="1">_FV(B286,"Market cap",TRUE)</f>
        <v>58181830000</v>
      </c>
    </row>
    <row r="287" spans="1:7" ht="18" x14ac:dyDescent="0.3">
      <c r="A287" t="s">
        <v>599</v>
      </c>
      <c r="B287" t="e" vm="329">
        <v>#VALUE!</v>
      </c>
      <c r="C287" s="7" t="s">
        <v>589</v>
      </c>
      <c r="D287" t="s">
        <v>600</v>
      </c>
      <c r="E287" s="2" cm="1">
        <f t="array" aca="1" ref="E287" ca="1">_FV(B287,"Price")</f>
        <v>257.7</v>
      </c>
      <c r="F287" s="1" cm="1">
        <f t="array" aca="1" ref="F287" ca="1">_FV(B287,"Change (%)",TRUE)</f>
        <v>-8.9219999999999994E-3</v>
      </c>
      <c r="G287" s="3" cm="1">
        <f t="array" aca="1" ref="G287" ca="1">_FV(B287,"Market cap",TRUE)</f>
        <v>70583030000</v>
      </c>
    </row>
    <row r="288" spans="1:7" ht="18" x14ac:dyDescent="0.3">
      <c r="A288" t="s">
        <v>601</v>
      </c>
      <c r="B288" t="e" vm="330">
        <v>#VALUE!</v>
      </c>
      <c r="C288" s="7" t="s">
        <v>589</v>
      </c>
      <c r="D288" t="s">
        <v>602</v>
      </c>
      <c r="E288" s="2" cm="1">
        <f t="array" aca="1" ref="E288" ca="1">_FV(B288,"Price")</f>
        <v>240.12</v>
      </c>
      <c r="F288" s="1" cm="1">
        <f t="array" aca="1" ref="F288" ca="1">_FV(B288,"Change (%)",TRUE)</f>
        <v>7.2150000000000001E-3</v>
      </c>
      <c r="G288" s="3" cm="1">
        <f t="array" aca="1" ref="G288" ca="1">_FV(B288,"Market cap",TRUE)</f>
        <v>65207080000</v>
      </c>
    </row>
    <row r="289" spans="1:7" ht="18" x14ac:dyDescent="0.3">
      <c r="A289" t="s">
        <v>603</v>
      </c>
      <c r="B289" t="e" vm="331">
        <v>#VALUE!</v>
      </c>
      <c r="C289" s="7" t="s">
        <v>589</v>
      </c>
      <c r="D289" t="s">
        <v>604</v>
      </c>
      <c r="E289" s="2" cm="1">
        <f t="array" aca="1" ref="E289" ca="1">_FV(B289,"Price")</f>
        <v>145.44999999999999</v>
      </c>
      <c r="F289" s="1" cm="1">
        <f t="array" aca="1" ref="F289" ca="1">_FV(B289,"Change (%)",TRUE)</f>
        <v>-3.436E-4</v>
      </c>
      <c r="G289" s="3" cm="1">
        <f t="array" aca="1" ref="G289" ca="1">_FV(B289,"Market cap",TRUE)</f>
        <v>40429940000</v>
      </c>
    </row>
    <row r="290" spans="1:7" ht="18" x14ac:dyDescent="0.3">
      <c r="A290" t="s">
        <v>605</v>
      </c>
      <c r="B290" t="e" vm="332">
        <v>#VALUE!</v>
      </c>
      <c r="C290" s="7" t="s">
        <v>589</v>
      </c>
      <c r="D290" t="s">
        <v>606</v>
      </c>
      <c r="E290" s="2" cm="1">
        <f t="array" aca="1" ref="E290" ca="1">_FV(B290,"Price")</f>
        <v>158.97999999999999</v>
      </c>
      <c r="F290" s="1" cm="1">
        <f t="array" aca="1" ref="F290" ca="1">_FV(B290,"Change (%)",TRUE)</f>
        <v>-1.0826000000000001E-2</v>
      </c>
      <c r="G290" s="3" cm="1">
        <f t="array" aca="1" ref="G290" ca="1">_FV(B290,"Market cap",TRUE)</f>
        <v>20209680000</v>
      </c>
    </row>
    <row r="291" spans="1:7" ht="18" x14ac:dyDescent="0.3">
      <c r="A291" t="s">
        <v>607</v>
      </c>
      <c r="B291" t="e" vm="333">
        <v>#VALUE!</v>
      </c>
      <c r="C291" s="7" t="s">
        <v>589</v>
      </c>
      <c r="D291" t="s">
        <v>608</v>
      </c>
      <c r="E291" s="2" cm="1">
        <f t="array" aca="1" ref="E291" ca="1">_FV(B291,"Price")</f>
        <v>204.02</v>
      </c>
      <c r="F291" s="1" cm="1">
        <f t="array" aca="1" ref="F291" ca="1">_FV(B291,"Change (%)",TRUE)</f>
        <v>6.8669999999999994E-4</v>
      </c>
      <c r="G291" s="3" cm="1">
        <f t="array" aca="1" ref="G291" ca="1">_FV(B291,"Market cap",TRUE)</f>
        <v>23875700000</v>
      </c>
    </row>
    <row r="292" spans="1:7" ht="18" x14ac:dyDescent="0.3">
      <c r="A292" t="s">
        <v>609</v>
      </c>
      <c r="B292" t="e" vm="334">
        <v>#VALUE!</v>
      </c>
      <c r="C292" s="7" t="s">
        <v>589</v>
      </c>
      <c r="D292" t="s">
        <v>610</v>
      </c>
      <c r="E292" s="2" cm="1">
        <f t="array" aca="1" ref="E292" ca="1">_FV(B292,"Price")</f>
        <v>22.25</v>
      </c>
      <c r="F292" s="1" cm="1">
        <f t="array" aca="1" ref="F292" ca="1">_FV(B292,"Change (%)",TRUE)</f>
        <v>-8.0249999999999991E-3</v>
      </c>
      <c r="G292" s="3" cm="1">
        <f t="array" aca="1" ref="G292" ca="1">_FV(B292,"Market cap",TRUE)</f>
        <v>28875860000</v>
      </c>
    </row>
    <row r="293" spans="1:7" ht="18" x14ac:dyDescent="0.3">
      <c r="A293" t="s">
        <v>611</v>
      </c>
      <c r="B293" t="e" vm="335">
        <v>#VALUE!</v>
      </c>
      <c r="C293" s="7" t="s">
        <v>589</v>
      </c>
      <c r="D293" t="s">
        <v>612</v>
      </c>
      <c r="E293" s="2" cm="1">
        <f t="array" aca="1" ref="E293" ca="1">_FV(B293,"Price")</f>
        <v>480.43</v>
      </c>
      <c r="F293" s="1" cm="1">
        <f t="array" aca="1" ref="F293" ca="1">_FV(B293,"Change (%)",TRUE)</f>
        <v>-3.7950000000000002E-3</v>
      </c>
      <c r="G293" s="3" cm="1">
        <f t="array" aca="1" ref="G293" ca="1">_FV(B293,"Market cap",TRUE)</f>
        <v>16450630000</v>
      </c>
    </row>
    <row r="294" spans="1:7" ht="18" x14ac:dyDescent="0.3">
      <c r="A294" t="s">
        <v>613</v>
      </c>
      <c r="B294" t="e" vm="336">
        <v>#VALUE!</v>
      </c>
      <c r="C294" s="7" t="s">
        <v>589</v>
      </c>
      <c r="D294" t="s">
        <v>614</v>
      </c>
      <c r="E294" s="2" cm="1">
        <f t="array" aca="1" ref="E294" ca="1">_FV(B294,"Price")</f>
        <v>39.799999999999997</v>
      </c>
      <c r="F294" s="1" cm="1">
        <f t="array" aca="1" ref="F294" ca="1">_FV(B294,"Change (%)",TRUE)</f>
        <v>-7.2340000000000008E-3</v>
      </c>
      <c r="G294" s="3" cm="1">
        <f t="array" aca="1" ref="G294" ca="1">_FV(B294,"Market cap",TRUE)</f>
        <v>28123780000</v>
      </c>
    </row>
    <row r="295" spans="1:7" ht="18" x14ac:dyDescent="0.3">
      <c r="A295" t="s">
        <v>615</v>
      </c>
      <c r="B295" t="e" vm="337">
        <v>#VALUE!</v>
      </c>
      <c r="C295" s="7" t="s">
        <v>589</v>
      </c>
      <c r="D295" t="s">
        <v>616</v>
      </c>
      <c r="E295" s="2" cm="1">
        <f t="array" aca="1" ref="E295" ca="1">_FV(B295,"Price")</f>
        <v>302.29000000000002</v>
      </c>
      <c r="F295" s="1" cm="1">
        <f t="array" aca="1" ref="F295" ca="1">_FV(B295,"Change (%)",TRUE)</f>
        <v>-3.888E-3</v>
      </c>
      <c r="G295" s="3" cm="1">
        <f t="array" aca="1" ref="G295" ca="1">_FV(B295,"Market cap",TRUE)</f>
        <v>11364660000</v>
      </c>
    </row>
    <row r="296" spans="1:7" ht="18" x14ac:dyDescent="0.3">
      <c r="A296" t="s">
        <v>617</v>
      </c>
      <c r="B296" t="e" vm="338">
        <v>#VALUE!</v>
      </c>
      <c r="C296" s="7" t="s">
        <v>589</v>
      </c>
      <c r="D296" t="s">
        <v>618</v>
      </c>
      <c r="E296" s="2" cm="1">
        <f t="array" aca="1" ref="E296" ca="1">_FV(B296,"Price")</f>
        <v>17.32</v>
      </c>
      <c r="F296" s="1" cm="1">
        <f t="array" aca="1" ref="F296" ca="1">_FV(B296,"Change (%)",TRUE)</f>
        <v>-6.8810000000000008E-3</v>
      </c>
      <c r="G296" s="3" cm="1">
        <f t="array" aca="1" ref="G296" ca="1">_FV(B296,"Market cap",TRUE)</f>
        <v>7738692000</v>
      </c>
    </row>
    <row r="297" spans="1:7" ht="18" x14ac:dyDescent="0.3">
      <c r="A297" t="s">
        <v>619</v>
      </c>
      <c r="B297" t="e" vm="339">
        <v>#VALUE!</v>
      </c>
      <c r="C297" s="7" t="s">
        <v>589</v>
      </c>
      <c r="D297" t="s">
        <v>620</v>
      </c>
      <c r="E297" s="2" cm="1">
        <f t="array" aca="1" ref="E297" ca="1">_FV(B297,"Price")</f>
        <v>65.83</v>
      </c>
      <c r="F297" s="1" cm="1">
        <f t="array" aca="1" ref="F297" ca="1">_FV(B297,"Change (%)",TRUE)</f>
        <v>-8.5840000000000014E-3</v>
      </c>
      <c r="G297" s="3" cm="1">
        <f t="array" aca="1" ref="G297" ca="1">_FV(B297,"Market cap",TRUE)</f>
        <v>9224717000</v>
      </c>
    </row>
    <row r="298" spans="1:7" ht="18" x14ac:dyDescent="0.3">
      <c r="A298" t="s">
        <v>621</v>
      </c>
      <c r="B298" t="e" vm="340">
        <v>#VALUE!</v>
      </c>
      <c r="C298" s="7" t="s">
        <v>589</v>
      </c>
      <c r="D298" t="s">
        <v>622</v>
      </c>
      <c r="E298" s="2" cm="1">
        <f t="array" aca="1" ref="E298" ca="1">_FV(B298,"Price")</f>
        <v>90.47</v>
      </c>
      <c r="F298" s="1" cm="1">
        <f t="array" aca="1" ref="F298" ca="1">_FV(B298,"Change (%)",TRUE)</f>
        <v>-4.8399999999999997E-3</v>
      </c>
      <c r="G298" s="3" cm="1">
        <f t="array" aca="1" ref="G298" ca="1">_FV(B298,"Market cap",TRUE)</f>
        <v>9459027000</v>
      </c>
    </row>
    <row r="299" spans="1:7" ht="18" x14ac:dyDescent="0.3">
      <c r="A299" t="s">
        <v>623</v>
      </c>
      <c r="B299" t="e" vm="341">
        <v>#VALUE!</v>
      </c>
      <c r="C299" s="7" t="s">
        <v>589</v>
      </c>
      <c r="D299" t="s">
        <v>624</v>
      </c>
      <c r="E299" s="2" cm="1">
        <f t="array" aca="1" ref="E299" ca="1">_FV(B299,"Price")</f>
        <v>31.35</v>
      </c>
      <c r="F299" s="1" cm="1">
        <f t="array" aca="1" ref="F299" ca="1">_FV(B299,"Change (%)",TRUE)</f>
        <v>0</v>
      </c>
      <c r="G299" s="3" cm="1">
        <f t="array" aca="1" ref="G299" ca="1">_FV(B299,"Market cap",TRUE)</f>
        <v>8531874285</v>
      </c>
    </row>
    <row r="300" spans="1:7" ht="18" x14ac:dyDescent="0.3">
      <c r="A300" t="s">
        <v>625</v>
      </c>
      <c r="B300" t="e" vm="342">
        <v>#VALUE!</v>
      </c>
      <c r="C300" s="7" t="s">
        <v>589</v>
      </c>
      <c r="D300" t="s">
        <v>626</v>
      </c>
      <c r="E300" s="2" cm="1">
        <f t="array" aca="1" ref="E300" ca="1">_FV(B300,"Price")</f>
        <v>27.69</v>
      </c>
      <c r="F300" s="1" cm="1">
        <f t="array" aca="1" ref="F300" ca="1">_FV(B300,"Change (%)",TRUE)</f>
        <v>-6.4590000000000003E-3</v>
      </c>
      <c r="G300" s="3" cm="1">
        <f t="array" aca="1" ref="G300" ca="1">_FV(B300,"Market cap",TRUE)</f>
        <v>5758637000</v>
      </c>
    </row>
    <row r="301" spans="1:7" x14ac:dyDescent="0.3">
      <c r="A301" t="s">
        <v>627</v>
      </c>
      <c r="B301" t="e" vm="343">
        <v>#VALUE!</v>
      </c>
      <c r="C301" t="s">
        <v>628</v>
      </c>
      <c r="D301" t="s">
        <v>629</v>
      </c>
      <c r="E301" s="2" cm="1">
        <f t="array" aca="1" ref="E301" ca="1">_FV(B301,"Price")</f>
        <v>335.36</v>
      </c>
      <c r="F301" s="1" cm="1">
        <f t="array" aca="1" ref="F301" ca="1">_FV(B301,"Change (%)",TRUE)</f>
        <v>1.3693E-2</v>
      </c>
      <c r="G301" s="3" cm="1">
        <f t="array" aca="1" ref="G301" ca="1">_FV(B301,"Market cap",TRUE)</f>
        <v>49699920000</v>
      </c>
    </row>
    <row r="302" spans="1:7" x14ac:dyDescent="0.3">
      <c r="A302" t="s">
        <v>630</v>
      </c>
      <c r="B302" t="e" vm="344">
        <v>#VALUE!</v>
      </c>
      <c r="C302" t="s">
        <v>631</v>
      </c>
      <c r="D302" t="s">
        <v>632</v>
      </c>
      <c r="E302" s="2" cm="1">
        <f t="array" aca="1" ref="E302" ca="1">_FV(B302,"Price")</f>
        <v>268.19</v>
      </c>
      <c r="F302" s="1" cm="1">
        <f t="array" aca="1" ref="F302" ca="1">_FV(B302,"Change (%)",TRUE)</f>
        <v>-1.1062000000000001E-2</v>
      </c>
      <c r="G302" s="3" cm="1">
        <f t="array" aca="1" ref="G302" ca="1">_FV(B302,"Market cap",TRUE)</f>
        <v>35428840000</v>
      </c>
    </row>
    <row r="303" spans="1:7" x14ac:dyDescent="0.3">
      <c r="A303" t="s">
        <v>633</v>
      </c>
      <c r="B303" t="e" vm="345">
        <v>#VALUE!</v>
      </c>
      <c r="C303" t="s">
        <v>631</v>
      </c>
      <c r="D303" t="s">
        <v>634</v>
      </c>
      <c r="E303" s="2" cm="1">
        <f t="array" aca="1" ref="E303" ca="1">_FV(B303,"Price")</f>
        <v>561.72</v>
      </c>
      <c r="F303" s="1" cm="1">
        <f t="array" aca="1" ref="F303" ca="1">_FV(B303,"Change (%)",TRUE)</f>
        <v>-5.2599999999999999E-3</v>
      </c>
      <c r="G303" s="3" cm="1">
        <f t="array" aca="1" ref="G303" ca="1">_FV(B303,"Market cap",TRUE)</f>
        <v>33863520000</v>
      </c>
    </row>
    <row r="304" spans="1:7" ht="18" x14ac:dyDescent="0.3">
      <c r="A304" t="s">
        <v>635</v>
      </c>
      <c r="B304" t="e" vm="346">
        <v>#VALUE!</v>
      </c>
      <c r="C304" s="7" t="s">
        <v>636</v>
      </c>
      <c r="D304" t="s">
        <v>637</v>
      </c>
      <c r="E304" s="2" cm="1">
        <f t="array" aca="1" ref="E304" ca="1">_FV(B304,"Price")</f>
        <v>103.03</v>
      </c>
      <c r="F304" s="1" cm="1">
        <f t="array" aca="1" ref="F304" ca="1">_FV(B304,"Change (%)",TRUE)</f>
        <v>5.8270000000000001E-4</v>
      </c>
      <c r="G304" s="3" cm="1">
        <f t="array" aca="1" ref="G304" ca="1">_FV(B304,"Market cap",TRUE)</f>
        <v>444059300000</v>
      </c>
    </row>
    <row r="305" spans="1:7" ht="18" x14ac:dyDescent="0.3">
      <c r="A305" t="s">
        <v>638</v>
      </c>
      <c r="B305" t="e" vm="347">
        <v>#VALUE!</v>
      </c>
      <c r="C305" s="7" t="s">
        <v>636</v>
      </c>
      <c r="D305" t="s">
        <v>639</v>
      </c>
      <c r="E305" s="2" cm="1">
        <f t="array" aca="1" ref="E305" ca="1">_FV(B305,"Price")</f>
        <v>136.54</v>
      </c>
      <c r="F305" s="1" cm="1">
        <f t="array" aca="1" ref="F305" ca="1">_FV(B305,"Change (%)",TRUE)</f>
        <v>9.2390000000000007E-3</v>
      </c>
      <c r="G305" s="3" cm="1">
        <f t="array" aca="1" ref="G305" ca="1">_FV(B305,"Market cap",TRUE)</f>
        <v>238497000000</v>
      </c>
    </row>
    <row r="306" spans="1:7" ht="18" x14ac:dyDescent="0.3">
      <c r="A306" t="s">
        <v>640</v>
      </c>
      <c r="B306" t="e" vm="348">
        <v>#VALUE!</v>
      </c>
      <c r="C306" s="7" t="s">
        <v>636</v>
      </c>
      <c r="D306" t="s">
        <v>641</v>
      </c>
      <c r="E306" s="2" cm="1">
        <f t="array" aca="1" ref="E306" ca="1">_FV(B306,"Price")</f>
        <v>85.19</v>
      </c>
      <c r="F306" s="1" cm="1">
        <f t="array" aca="1" ref="F306" ca="1">_FV(B306,"Change (%)",TRUE)</f>
        <v>-1.0914E-2</v>
      </c>
      <c r="G306" s="3" cm="1">
        <f t="array" aca="1" ref="G306" ca="1">_FV(B306,"Market cap",TRUE)</f>
        <v>107544700000</v>
      </c>
    </row>
    <row r="307" spans="1:7" ht="18" x14ac:dyDescent="0.3">
      <c r="A307" t="s">
        <v>642</v>
      </c>
      <c r="B307" t="e" vm="349">
        <v>#VALUE!</v>
      </c>
      <c r="C307" s="7" t="s">
        <v>636</v>
      </c>
      <c r="D307" t="s">
        <v>643</v>
      </c>
      <c r="E307" s="2" cm="1">
        <f t="array" aca="1" ref="E307" ca="1">_FV(B307,"Price")</f>
        <v>110.18</v>
      </c>
      <c r="F307" s="1" cm="1">
        <f t="array" aca="1" ref="F307" ca="1">_FV(B307,"Change (%)",TRUE)</f>
        <v>-5.5059999999999996E-3</v>
      </c>
      <c r="G307" s="3" cm="1">
        <f t="array" aca="1" ref="G307" ca="1">_FV(B307,"Market cap",TRUE)</f>
        <v>60134810000</v>
      </c>
    </row>
    <row r="308" spans="1:7" ht="18" x14ac:dyDescent="0.3">
      <c r="A308" t="s">
        <v>644</v>
      </c>
      <c r="B308" t="e" vm="350">
        <v>#VALUE!</v>
      </c>
      <c r="C308" s="7" t="s">
        <v>636</v>
      </c>
      <c r="D308" t="s">
        <v>645</v>
      </c>
      <c r="E308" s="2" cm="1">
        <f t="array" aca="1" ref="E308" ca="1">_FV(B308,"Price")</f>
        <v>58.99</v>
      </c>
      <c r="F308" s="1" cm="1">
        <f t="array" aca="1" ref="F308" ca="1">_FV(B308,"Change (%)",TRUE)</f>
        <v>2.1472000000000002E-2</v>
      </c>
      <c r="G308" s="3" cm="1">
        <f t="array" aca="1" ref="G308" ca="1">_FV(B308,"Market cap",TRUE)</f>
        <v>72027160000</v>
      </c>
    </row>
    <row r="309" spans="1:7" ht="18" x14ac:dyDescent="0.3">
      <c r="A309" t="s">
        <v>646</v>
      </c>
      <c r="B309" t="e" vm="351">
        <v>#VALUE!</v>
      </c>
      <c r="C309" s="7" t="s">
        <v>636</v>
      </c>
      <c r="D309" t="s">
        <v>647</v>
      </c>
      <c r="E309" s="2" cm="1">
        <f t="array" aca="1" ref="E309" ca="1">_FV(B309,"Price")</f>
        <v>33.659999999999997</v>
      </c>
      <c r="F309" s="1" cm="1">
        <f t="array" aca="1" ref="F309" ca="1">_FV(B309,"Change (%)",TRUE)</f>
        <v>-2.6670000000000001E-3</v>
      </c>
      <c r="G309" s="3" cm="1">
        <f t="array" aca="1" ref="G309" ca="1">_FV(B309,"Market cap",TRUE)</f>
        <v>45783040000</v>
      </c>
    </row>
    <row r="310" spans="1:7" ht="18" x14ac:dyDescent="0.3">
      <c r="A310" t="s">
        <v>648</v>
      </c>
      <c r="B310" t="e" vm="352">
        <v>#VALUE!</v>
      </c>
      <c r="C310" s="7" t="s">
        <v>636</v>
      </c>
      <c r="D310" t="s">
        <v>649</v>
      </c>
      <c r="E310" s="2" cm="1">
        <f t="array" aca="1" ref="E310" ca="1">_FV(B310,"Price")</f>
        <v>81.14</v>
      </c>
      <c r="F310" s="1" cm="1">
        <f t="array" aca="1" ref="F310" ca="1">_FV(B310,"Change (%)",TRUE)</f>
        <v>-2.8270000000000001E-3</v>
      </c>
      <c r="G310" s="3" cm="1">
        <f t="array" aca="1" ref="G310" ca="1">_FV(B310,"Market cap",TRUE)</f>
        <v>50682680000</v>
      </c>
    </row>
    <row r="311" spans="1:7" ht="18" x14ac:dyDescent="0.3">
      <c r="A311" t="s">
        <v>650</v>
      </c>
      <c r="B311" t="e" vm="353">
        <v>#VALUE!</v>
      </c>
      <c r="C311" s="7" t="s">
        <v>636</v>
      </c>
      <c r="D311" t="s">
        <v>651</v>
      </c>
      <c r="E311" s="2" cm="1">
        <f t="array" aca="1" ref="E311" ca="1">_FV(B311,"Price")</f>
        <v>39.020000000000003</v>
      </c>
      <c r="F311" s="1" cm="1">
        <f t="array" aca="1" ref="F311" ca="1">_FV(B311,"Change (%)",TRUE)</f>
        <v>3.5013000000000002E-2</v>
      </c>
      <c r="G311" s="3" cm="1">
        <f t="array" aca="1" ref="G311" ca="1">_FV(B311,"Market cap",TRUE)</f>
        <v>56040540000</v>
      </c>
    </row>
    <row r="312" spans="1:7" ht="18" x14ac:dyDescent="0.3">
      <c r="A312" t="s">
        <v>652</v>
      </c>
      <c r="B312" t="e" vm="354">
        <v>#VALUE!</v>
      </c>
      <c r="C312" s="7" t="s">
        <v>636</v>
      </c>
      <c r="D312" t="s">
        <v>653</v>
      </c>
      <c r="E312" s="2" cm="1">
        <f t="array" aca="1" ref="E312" ca="1">_FV(B312,"Price")</f>
        <v>27.86</v>
      </c>
      <c r="F312" s="1" cm="1">
        <f t="array" aca="1" ref="F312" ca="1">_FV(B312,"Change (%)",TRUE)</f>
        <v>1.9019999999999999E-2</v>
      </c>
      <c r="G312" s="3" cm="1">
        <f t="array" aca="1" ref="G312" ca="1">_FV(B312,"Market cap",TRUE)</f>
        <v>61906300000</v>
      </c>
    </row>
    <row r="313" spans="1:7" ht="18" x14ac:dyDescent="0.3">
      <c r="A313" t="s">
        <v>654</v>
      </c>
      <c r="B313" t="e" vm="355">
        <v>#VALUE!</v>
      </c>
      <c r="C313" s="7" t="s">
        <v>636</v>
      </c>
      <c r="D313" t="s">
        <v>655</v>
      </c>
      <c r="E313" s="2" cm="1">
        <f t="array" aca="1" ref="E313" ca="1">_FV(B313,"Price")</f>
        <v>113.13</v>
      </c>
      <c r="F313" s="1" cm="1">
        <f t="array" aca="1" ref="F313" ca="1">_FV(B313,"Change (%)",TRUE)</f>
        <v>1.328E-3</v>
      </c>
      <c r="G313" s="3" cm="1">
        <f t="array" aca="1" ref="G313" ca="1">_FV(B313,"Market cap",TRUE)</f>
        <v>46093380000</v>
      </c>
    </row>
    <row r="314" spans="1:7" ht="18" x14ac:dyDescent="0.3">
      <c r="A314" t="s">
        <v>656</v>
      </c>
      <c r="B314" t="e" vm="29">
        <v>#VALUE!</v>
      </c>
      <c r="C314" s="7" t="s">
        <v>636</v>
      </c>
      <c r="D314" t="s">
        <v>657</v>
      </c>
      <c r="E314" s="2" cm="1">
        <f t="array" aca="1" ref="E314" ca="1">_FV(B314,"Price")</f>
        <v>53.65</v>
      </c>
      <c r="F314" s="1" cm="1">
        <f t="array" aca="1" ref="F314" ca="1">_FV(B314,"Change (%)",TRUE)</f>
        <v>1.8992999999999999E-2</v>
      </c>
      <c r="G314" s="3" cm="1">
        <f t="array" aca="1" ref="G314" ca="1">_FV(B314,"Market cap",TRUE)</f>
        <v>59712290000</v>
      </c>
    </row>
    <row r="315" spans="1:7" ht="18" x14ac:dyDescent="0.3">
      <c r="A315" t="s">
        <v>658</v>
      </c>
      <c r="B315" t="e" vm="356">
        <v>#VALUE!</v>
      </c>
      <c r="C315" s="7" t="s">
        <v>636</v>
      </c>
      <c r="D315" t="s">
        <v>659</v>
      </c>
      <c r="E315" s="2" cm="1">
        <f t="array" aca="1" ref="E315" ca="1">_FV(B315,"Price")</f>
        <v>159.11000000000001</v>
      </c>
      <c r="F315" s="1" cm="1">
        <f t="array" aca="1" ref="F315" ca="1">_FV(B315,"Change (%)",TRUE)</f>
        <v>1.3850000000000002E-3</v>
      </c>
      <c r="G315" s="3" cm="1">
        <f t="array" aca="1" ref="G315" ca="1">_FV(B315,"Market cap",TRUE)</f>
        <v>48880790000</v>
      </c>
    </row>
    <row r="316" spans="1:7" ht="18" x14ac:dyDescent="0.3">
      <c r="A316" t="s">
        <v>660</v>
      </c>
      <c r="B316" t="e" vm="357">
        <v>#VALUE!</v>
      </c>
      <c r="C316" s="7" t="s">
        <v>636</v>
      </c>
      <c r="D316" t="s">
        <v>661</v>
      </c>
      <c r="E316" s="2" cm="1">
        <f t="array" aca="1" ref="E316" ca="1">_FV(B316,"Price")</f>
        <v>36.74</v>
      </c>
      <c r="F316" s="1" cm="1">
        <f t="array" aca="1" ref="F316" ca="1">_FV(B316,"Change (%)",TRUE)</f>
        <v>4.0990000000000002E-3</v>
      </c>
      <c r="G316" s="3" cm="1">
        <f t="array" aca="1" ref="G316" ca="1">_FV(B316,"Market cap",TRUE)</f>
        <v>36400150000</v>
      </c>
    </row>
    <row r="317" spans="1:7" ht="18" x14ac:dyDescent="0.3">
      <c r="A317" t="s">
        <v>662</v>
      </c>
      <c r="B317" t="e" vm="358">
        <v>#VALUE!</v>
      </c>
      <c r="C317" s="7" t="s">
        <v>636</v>
      </c>
      <c r="D317" t="s">
        <v>663</v>
      </c>
      <c r="E317" s="2" cm="1">
        <f t="array" aca="1" ref="E317" ca="1">_FV(B317,"Price")</f>
        <v>128.55000000000001</v>
      </c>
      <c r="F317" s="1" cm="1">
        <f t="array" aca="1" ref="F317" ca="1">_FV(B317,"Change (%)",TRUE)</f>
        <v>-1.3209999999999999E-3</v>
      </c>
      <c r="G317" s="3" cm="1">
        <f t="array" aca="1" ref="G317" ca="1">_FV(B317,"Market cap",TRUE)</f>
        <v>40262650000</v>
      </c>
    </row>
    <row r="318" spans="1:7" ht="18" x14ac:dyDescent="0.3">
      <c r="A318" t="s">
        <v>664</v>
      </c>
      <c r="B318" t="e" vm="359">
        <v>#VALUE!</v>
      </c>
      <c r="C318" s="7" t="s">
        <v>636</v>
      </c>
      <c r="D318" t="s">
        <v>665</v>
      </c>
      <c r="E318" s="2" cm="1">
        <f t="array" aca="1" ref="E318" ca="1">_FV(B318,"Price")</f>
        <v>160.46</v>
      </c>
      <c r="F318" s="1" cm="1">
        <f t="array" aca="1" ref="F318" ca="1">_FV(B318,"Change (%)",TRUE)</f>
        <v>8.6110000000000006E-3</v>
      </c>
      <c r="G318" s="3" cm="1">
        <f t="array" aca="1" ref="G318" ca="1">_FV(B318,"Market cap",TRUE)</f>
        <v>34808890000</v>
      </c>
    </row>
    <row r="319" spans="1:7" ht="18" x14ac:dyDescent="0.3">
      <c r="A319" t="s">
        <v>666</v>
      </c>
      <c r="B319" t="e" vm="360">
        <v>#VALUE!</v>
      </c>
      <c r="C319" s="7" t="s">
        <v>636</v>
      </c>
      <c r="D319" t="s">
        <v>667</v>
      </c>
      <c r="E319" s="2" cm="1">
        <f t="array" aca="1" ref="E319" ca="1">_FV(B319,"Price")</f>
        <v>131.36000000000001</v>
      </c>
      <c r="F319" s="1" cm="1">
        <f t="array" aca="1" ref="F319" ca="1">_FV(B319,"Change (%)",TRUE)</f>
        <v>1.0305999999999999E-2</v>
      </c>
      <c r="G319" s="3" cm="1">
        <f t="array" aca="1" ref="G319" ca="1">_FV(B319,"Market cap",TRUE)</f>
        <v>40625840000</v>
      </c>
    </row>
    <row r="320" spans="1:7" ht="18" x14ac:dyDescent="0.3">
      <c r="A320" t="s">
        <v>668</v>
      </c>
      <c r="B320" t="e" vm="361">
        <v>#VALUE!</v>
      </c>
      <c r="C320" s="7" t="s">
        <v>636</v>
      </c>
      <c r="D320" t="s">
        <v>669</v>
      </c>
      <c r="E320" s="2" cm="1">
        <f t="array" aca="1" ref="E320" ca="1">_FV(B320,"Price")</f>
        <v>108.49</v>
      </c>
      <c r="F320" s="1" cm="1">
        <f t="array" aca="1" ref="F320" ca="1">_FV(B320,"Change (%)",TRUE)</f>
        <v>-1.9875E-2</v>
      </c>
      <c r="G320" s="3" cm="1">
        <f t="array" aca="1" ref="G320" ca="1">_FV(B320,"Market cap",TRUE)</f>
        <v>25034120000</v>
      </c>
    </row>
    <row r="321" spans="1:7" ht="18" x14ac:dyDescent="0.3">
      <c r="A321" t="s">
        <v>670</v>
      </c>
      <c r="B321" t="e" vm="362">
        <v>#VALUE!</v>
      </c>
      <c r="C321" s="7" t="s">
        <v>636</v>
      </c>
      <c r="D321" t="s">
        <v>671</v>
      </c>
      <c r="E321" s="2" cm="1">
        <f t="array" aca="1" ref="E321" ca="1">_FV(B321,"Price")</f>
        <v>41.29</v>
      </c>
      <c r="F321" s="1" cm="1">
        <f t="array" aca="1" ref="F321" ca="1">_FV(B321,"Change (%)",TRUE)</f>
        <v>5.1120000000000002E-3</v>
      </c>
      <c r="G321" s="3" cm="1">
        <f t="array" aca="1" ref="G321" ca="1">_FV(B321,"Market cap",TRUE)</f>
        <v>40634840000</v>
      </c>
    </row>
    <row r="322" spans="1:7" ht="18" x14ac:dyDescent="0.3">
      <c r="A322" t="s">
        <v>672</v>
      </c>
      <c r="B322" t="e" vm="363">
        <v>#VALUE!</v>
      </c>
      <c r="C322" s="7" t="s">
        <v>636</v>
      </c>
      <c r="D322" t="s">
        <v>673</v>
      </c>
      <c r="E322" s="2" cm="1">
        <f t="array" aca="1" ref="E322" ca="1">_FV(B322,"Price")</f>
        <v>55.61</v>
      </c>
      <c r="F322" s="1" cm="1">
        <f t="array" aca="1" ref="F322" ca="1">_FV(B322,"Change (%)",TRUE)</f>
        <v>-1.4369999999999999E-3</v>
      </c>
      <c r="G322" s="3" cm="1">
        <f t="array" aca="1" ref="G322" ca="1">_FV(B322,"Market cap",TRUE)</f>
        <v>33289590000</v>
      </c>
    </row>
    <row r="323" spans="1:7" ht="18" x14ac:dyDescent="0.3">
      <c r="A323" t="s">
        <v>674</v>
      </c>
      <c r="B323" t="e" vm="364">
        <v>#VALUE!</v>
      </c>
      <c r="C323" s="7" t="s">
        <v>636</v>
      </c>
      <c r="D323" t="s">
        <v>675</v>
      </c>
      <c r="E323" s="2" cm="1">
        <f t="array" aca="1" ref="E323" ca="1">_FV(B323,"Price")</f>
        <v>143.61000000000001</v>
      </c>
      <c r="F323" s="1" cm="1">
        <f t="array" aca="1" ref="F323" ca="1">_FV(B323,"Change (%)",TRUE)</f>
        <v>1.2407E-2</v>
      </c>
      <c r="G323" s="3" cm="1">
        <f t="array" aca="1" ref="G323" ca="1">_FV(B323,"Market cap",TRUE)</f>
        <v>28005620000</v>
      </c>
    </row>
    <row r="324" spans="1:7" ht="18" x14ac:dyDescent="0.3">
      <c r="A324" t="s">
        <v>676</v>
      </c>
      <c r="B324" t="e" vm="365">
        <v>#VALUE!</v>
      </c>
      <c r="C324" s="7" t="s">
        <v>636</v>
      </c>
      <c r="D324" t="s">
        <v>677</v>
      </c>
      <c r="E324" s="2" cm="1">
        <f t="array" aca="1" ref="E324" ca="1">_FV(B324,"Price")</f>
        <v>135.86000000000001</v>
      </c>
      <c r="F324" s="1" cm="1">
        <f t="array" aca="1" ref="F324" ca="1">_FV(B324,"Change (%)",TRUE)</f>
        <v>-3.1549999999999998E-3</v>
      </c>
      <c r="G324" s="3" cm="1">
        <f t="array" aca="1" ref="G324" ca="1">_FV(B324,"Market cap",TRUE)</f>
        <v>39693940000</v>
      </c>
    </row>
    <row r="325" spans="1:7" ht="18" x14ac:dyDescent="0.3">
      <c r="A325" t="s">
        <v>678</v>
      </c>
      <c r="B325" t="e" vm="366">
        <v>#VALUE!</v>
      </c>
      <c r="C325" s="7" t="s">
        <v>636</v>
      </c>
      <c r="D325" t="s">
        <v>679</v>
      </c>
      <c r="E325" s="2" cm="1">
        <f t="array" aca="1" ref="E325" ca="1">_FV(B325,"Price")</f>
        <v>1272.4100000000001</v>
      </c>
      <c r="F325" s="1" cm="1">
        <f t="array" aca="1" ref="F325" ca="1">_FV(B325,"Change (%)",TRUE)</f>
        <v>-5.0749999999999997E-3</v>
      </c>
      <c r="G325" s="3" cm="1">
        <f t="array" aca="1" ref="G325" ca="1">_FV(B325,"Market cap",TRUE)</f>
        <v>29249300000</v>
      </c>
    </row>
    <row r="326" spans="1:7" ht="18" x14ac:dyDescent="0.3">
      <c r="A326" t="s">
        <v>680</v>
      </c>
      <c r="B326" t="e" vm="367">
        <v>#VALUE!</v>
      </c>
      <c r="C326" s="7" t="s">
        <v>636</v>
      </c>
      <c r="D326" t="s">
        <v>681</v>
      </c>
      <c r="E326" s="2" cm="1">
        <f t="array" aca="1" ref="E326" ca="1">_FV(B326,"Price")</f>
        <v>157.28</v>
      </c>
      <c r="F326" s="1" cm="1">
        <f t="array" aca="1" ref="F326" ca="1">_FV(B326,"Change (%)",TRUE)</f>
        <v>1.2815E-2</v>
      </c>
      <c r="G326" s="3" cm="1">
        <f t="array" aca="1" ref="G326" ca="1">_FV(B326,"Market cap",TRUE)</f>
        <v>24981860000</v>
      </c>
    </row>
    <row r="327" spans="1:7" ht="18" x14ac:dyDescent="0.3">
      <c r="A327" t="s">
        <v>682</v>
      </c>
      <c r="B327" t="e" vm="368">
        <v>#VALUE!</v>
      </c>
      <c r="C327" s="7" t="s">
        <v>636</v>
      </c>
      <c r="D327" t="s">
        <v>683</v>
      </c>
      <c r="E327" s="2" cm="1">
        <f t="array" aca="1" ref="E327" ca="1">_FV(B327,"Price")</f>
        <v>31.16</v>
      </c>
      <c r="F327" s="1" cm="1">
        <f t="array" aca="1" ref="F327" ca="1">_FV(B327,"Change (%)",TRUE)</f>
        <v>6.4229999999999995E-4</v>
      </c>
      <c r="G327" s="3" cm="1">
        <f t="array" aca="1" ref="G327" ca="1">_FV(B327,"Market cap",TRUE)</f>
        <v>20007840000</v>
      </c>
    </row>
    <row r="328" spans="1:7" ht="18" x14ac:dyDescent="0.3">
      <c r="A328" t="s">
        <v>684</v>
      </c>
      <c r="B328" t="e" vm="369">
        <v>#VALUE!</v>
      </c>
      <c r="C328" s="7" t="s">
        <v>636</v>
      </c>
      <c r="D328" t="s">
        <v>685</v>
      </c>
      <c r="E328" s="2" cm="1">
        <f t="array" aca="1" ref="E328" ca="1">_FV(B328,"Price")</f>
        <v>19.91</v>
      </c>
      <c r="F328" s="1" cm="1">
        <f t="array" aca="1" ref="F328" ca="1">_FV(B328,"Change (%)",TRUE)</f>
        <v>-2.5049999999999998E-3</v>
      </c>
      <c r="G328" s="3" cm="1">
        <f t="array" aca="1" ref="G328" ca="1">_FV(B328,"Market cap",TRUE)</f>
        <v>17116930000</v>
      </c>
    </row>
    <row r="329" spans="1:7" ht="18" x14ac:dyDescent="0.3">
      <c r="A329" t="s">
        <v>686</v>
      </c>
      <c r="B329" t="e" vm="370">
        <v>#VALUE!</v>
      </c>
      <c r="C329" s="7" t="s">
        <v>636</v>
      </c>
      <c r="D329" t="s">
        <v>687</v>
      </c>
      <c r="E329" s="2" cm="1">
        <f t="array" aca="1" ref="E329" ca="1">_FV(B329,"Price")</f>
        <v>24.52</v>
      </c>
      <c r="F329" s="1" cm="1">
        <f t="array" aca="1" ref="F329" ca="1">_FV(B329,"Change (%)",TRUE)</f>
        <v>4.5059999999999996E-3</v>
      </c>
      <c r="G329" s="3" cm="1">
        <f t="array" aca="1" ref="G329" ca="1">_FV(B329,"Market cap",TRUE)</f>
        <v>18715150000</v>
      </c>
    </row>
    <row r="330" spans="1:7" ht="18" x14ac:dyDescent="0.3">
      <c r="A330" t="s">
        <v>688</v>
      </c>
      <c r="B330" t="e" vm="371">
        <v>#VALUE!</v>
      </c>
      <c r="C330" s="7" t="s">
        <v>636</v>
      </c>
      <c r="D330" t="s">
        <v>689</v>
      </c>
      <c r="E330" s="2" cm="1">
        <f t="array" aca="1" ref="E330" ca="1">_FV(B330,"Price")</f>
        <v>125.32</v>
      </c>
      <c r="F330" s="1" cm="1">
        <f t="array" aca="1" ref="F330" ca="1">_FV(B330,"Change (%)",TRUE)</f>
        <v>-3.5184E-2</v>
      </c>
      <c r="G330" s="3" cm="1">
        <f t="array" aca="1" ref="G330" ca="1">_FV(B330,"Market cap",TRUE)</f>
        <v>18604240000</v>
      </c>
    </row>
    <row r="331" spans="1:7" ht="18" x14ac:dyDescent="0.3">
      <c r="A331" t="s">
        <v>690</v>
      </c>
      <c r="B331" t="e" vm="372">
        <v>#VALUE!</v>
      </c>
      <c r="C331" s="7" t="s">
        <v>636</v>
      </c>
      <c r="D331" t="s">
        <v>691</v>
      </c>
      <c r="E331" s="2" cm="1">
        <f t="array" aca="1" ref="E331" ca="1">_FV(B331,"Price")</f>
        <v>3.45</v>
      </c>
      <c r="F331" s="1" cm="1">
        <f t="array" aca="1" ref="F331" ca="1">_FV(B331,"Change (%)",TRUE)</f>
        <v>-1.9886000000000001E-2</v>
      </c>
      <c r="G331" s="4" cm="1">
        <f t="array" aca="1" ref="G331" ca="1">_FV(B331,"Market cap",TRUE)</f>
        <v>1335150000</v>
      </c>
    </row>
    <row r="332" spans="1:7" ht="18" x14ac:dyDescent="0.3">
      <c r="A332" t="s">
        <v>692</v>
      </c>
      <c r="B332" t="e" vm="373">
        <v>#VALUE!</v>
      </c>
      <c r="C332" s="7" t="s">
        <v>636</v>
      </c>
      <c r="D332" t="s">
        <v>693</v>
      </c>
      <c r="E332" s="2" cm="1">
        <f t="array" aca="1" ref="E332" ca="1">_FV(B332,"Price")</f>
        <v>158.38</v>
      </c>
      <c r="F332" s="1" cm="1">
        <f t="array" aca="1" ref="F332" ca="1">_FV(B332,"Change (%)",TRUE)</f>
        <v>1.2984000000000001E-2</v>
      </c>
      <c r="G332" s="3" cm="1">
        <f t="array" aca="1" ref="G332" ca="1">_FV(B332,"Market cap",TRUE)</f>
        <v>16985380000</v>
      </c>
    </row>
    <row r="333" spans="1:7" ht="18" x14ac:dyDescent="0.3">
      <c r="A333" t="s">
        <v>694</v>
      </c>
      <c r="B333" t="e" vm="374">
        <v>#VALUE!</v>
      </c>
      <c r="C333" s="7" t="s">
        <v>636</v>
      </c>
      <c r="D333" t="s">
        <v>695</v>
      </c>
      <c r="E333" s="2" cm="1">
        <f t="array" aca="1" ref="E333" ca="1">_FV(B333,"Price")</f>
        <v>39.64</v>
      </c>
      <c r="F333" s="1" cm="1">
        <f t="array" aca="1" ref="F333" ca="1">_FV(B333,"Change (%)",TRUE)</f>
        <v>4.3021000000000004E-2</v>
      </c>
      <c r="G333" s="3" cm="1">
        <f t="array" aca="1" ref="G333" ca="1">_FV(B333,"Market cap",TRUE)</f>
        <v>5201046000</v>
      </c>
    </row>
    <row r="334" spans="1:7" ht="18" x14ac:dyDescent="0.3">
      <c r="A334" t="s">
        <v>696</v>
      </c>
      <c r="B334" t="e" vm="375">
        <v>#VALUE!</v>
      </c>
      <c r="C334" s="7" t="s">
        <v>636</v>
      </c>
      <c r="D334" t="s">
        <v>697</v>
      </c>
      <c r="E334" s="2" cm="1">
        <f t="array" aca="1" ref="E334" ca="1">_FV(B334,"Price")</f>
        <v>16.850000000000001</v>
      </c>
      <c r="F334" s="1" cm="1">
        <f t="array" aca="1" ref="F334" ca="1">_FV(B334,"Change (%)",TRUE)</f>
        <v>6.5710000000000005E-3</v>
      </c>
      <c r="G334" s="3" cm="1">
        <f t="array" aca="1" ref="G334" ca="1">_FV(B334,"Market cap",TRUE)</f>
        <v>6080240000</v>
      </c>
    </row>
    <row r="335" spans="1:7" ht="18" x14ac:dyDescent="0.3">
      <c r="A335" t="s">
        <v>698</v>
      </c>
      <c r="B335" t="e" vm="13">
        <v>#VALUE!</v>
      </c>
      <c r="C335" s="7" t="s">
        <v>699</v>
      </c>
      <c r="D335" t="s">
        <v>700</v>
      </c>
      <c r="E335" s="2" cm="1">
        <f t="array" aca="1" ref="E335" ca="1">_FV(B335,"Price")</f>
        <v>713.71</v>
      </c>
      <c r="F335" s="1" cm="1">
        <f t="array" aca="1" ref="F335" ca="1">_FV(B335,"Change (%)",TRUE)</f>
        <v>-2.0830000000000002E-3</v>
      </c>
      <c r="G335" s="3" cm="1">
        <f t="array" aca="1" ref="G335" ca="1">_FV(B335,"Market cap",TRUE)</f>
        <v>676408400000</v>
      </c>
    </row>
    <row r="336" spans="1:7" ht="18" x14ac:dyDescent="0.3">
      <c r="A336" t="s">
        <v>701</v>
      </c>
      <c r="B336" t="e" vm="376">
        <v>#VALUE!</v>
      </c>
      <c r="C336" s="7" t="s">
        <v>699</v>
      </c>
      <c r="D336" t="s">
        <v>702</v>
      </c>
      <c r="E336" s="2" cm="1">
        <f t="array" aca="1" ref="E336" ca="1">_FV(B336,"Price")</f>
        <v>152.94</v>
      </c>
      <c r="F336" s="1" cm="1">
        <f t="array" aca="1" ref="F336" ca="1">_FV(B336,"Change (%)",TRUE)</f>
        <v>2.1619999999999999E-3</v>
      </c>
      <c r="G336" s="3" cm="1">
        <f t="array" aca="1" ref="G336" ca="1">_FV(B336,"Market cap",TRUE)</f>
        <v>367984800000</v>
      </c>
    </row>
    <row r="337" spans="1:7" ht="18" x14ac:dyDescent="0.3">
      <c r="A337" t="s">
        <v>703</v>
      </c>
      <c r="B337" t="e" vm="39">
        <v>#VALUE!</v>
      </c>
      <c r="C337" s="7" t="s">
        <v>699</v>
      </c>
      <c r="D337" t="s">
        <v>704</v>
      </c>
      <c r="E337" s="2" cm="1">
        <f t="array" aca="1" ref="E337" ca="1">_FV(B337,"Price")</f>
        <v>183.26</v>
      </c>
      <c r="F337" s="1" cm="1">
        <f t="array" aca="1" ref="F337" ca="1">_FV(B337,"Change (%)",TRUE)</f>
        <v>3.9439999999999996E-3</v>
      </c>
      <c r="G337" s="3" cm="1">
        <f t="array" aca="1" ref="G337" ca="1">_FV(B337,"Market cap",TRUE)</f>
        <v>323711000000</v>
      </c>
    </row>
    <row r="338" spans="1:7" ht="18" x14ac:dyDescent="0.3">
      <c r="A338" t="s">
        <v>705</v>
      </c>
      <c r="B338" t="e" vm="377">
        <v>#VALUE!</v>
      </c>
      <c r="C338" s="7" t="s">
        <v>699</v>
      </c>
      <c r="D338" t="s">
        <v>706</v>
      </c>
      <c r="E338" s="2" cm="1">
        <f t="array" aca="1" ref="E338" ca="1">_FV(B338,"Price")</f>
        <v>77.58</v>
      </c>
      <c r="F338" s="1" cm="1">
        <f t="array" aca="1" ref="F338" ca="1">_FV(B338,"Change (%)",TRUE)</f>
        <v>-3.3400000000000001E-3</v>
      </c>
      <c r="G338" s="3" cm="1">
        <f t="array" aca="1" ref="G338" ca="1">_FV(B338,"Market cap",TRUE)</f>
        <v>194805800000</v>
      </c>
    </row>
    <row r="339" spans="1:7" ht="18" x14ac:dyDescent="0.3">
      <c r="A339" t="s">
        <v>707</v>
      </c>
      <c r="B339" t="e" vm="378">
        <v>#VALUE!</v>
      </c>
      <c r="C339" s="7" t="s">
        <v>699</v>
      </c>
      <c r="D339" t="s">
        <v>708</v>
      </c>
      <c r="E339" s="2" cm="1">
        <f t="array" aca="1" ref="E339" ca="1">_FV(B339,"Price")</f>
        <v>271.66000000000003</v>
      </c>
      <c r="F339" s="1" cm="1">
        <f t="array" aca="1" ref="F339" ca="1">_FV(B339,"Change (%)",TRUE)</f>
        <v>-8.8270000000000004E-4</v>
      </c>
      <c r="G339" s="3" cm="1">
        <f t="array" aca="1" ref="G339" ca="1">_FV(B339,"Market cap",TRUE)</f>
        <v>146073300000</v>
      </c>
    </row>
    <row r="340" spans="1:7" ht="18" x14ac:dyDescent="0.3">
      <c r="A340" t="s">
        <v>709</v>
      </c>
      <c r="B340" t="e" vm="379">
        <v>#VALUE!</v>
      </c>
      <c r="C340" s="7" t="s">
        <v>699</v>
      </c>
      <c r="D340" t="s">
        <v>710</v>
      </c>
      <c r="E340" s="2" cm="1">
        <f t="array" aca="1" ref="E340" ca="1">_FV(B340,"Price")</f>
        <v>23.32</v>
      </c>
      <c r="F340" s="1" cm="1">
        <f t="array" aca="1" ref="F340" ca="1">_FV(B340,"Change (%)",TRUE)</f>
        <v>1.2153000000000001E-2</v>
      </c>
      <c r="G340" s="3" cm="1">
        <f t="array" aca="1" ref="G340" ca="1">_FV(B340,"Market cap",TRUE)</f>
        <v>132582700000</v>
      </c>
    </row>
    <row r="341" spans="1:7" ht="18" x14ac:dyDescent="0.3">
      <c r="A341" t="s">
        <v>711</v>
      </c>
      <c r="B341" t="e" vm="380">
        <v>#VALUE!</v>
      </c>
      <c r="C341" s="7" t="s">
        <v>699</v>
      </c>
      <c r="D341" t="s">
        <v>712</v>
      </c>
      <c r="E341" s="2" cm="1">
        <f t="array" aca="1" ref="E341" ca="1">_FV(B341,"Price")</f>
        <v>107.37</v>
      </c>
      <c r="F341" s="1" cm="1">
        <f t="array" aca="1" ref="F341" ca="1">_FV(B341,"Change (%)",TRUE)</f>
        <v>5.9019999999999993E-3</v>
      </c>
      <c r="G341" s="3" cm="1">
        <f t="array" aca="1" ref="G341" ca="1">_FV(B341,"Market cap",TRUE)</f>
        <v>133560700000</v>
      </c>
    </row>
    <row r="342" spans="1:7" ht="18" x14ac:dyDescent="0.3">
      <c r="A342" t="s">
        <v>713</v>
      </c>
      <c r="B342" t="e" vm="381">
        <v>#VALUE!</v>
      </c>
      <c r="C342" s="7" t="s">
        <v>699</v>
      </c>
      <c r="D342" t="s">
        <v>714</v>
      </c>
      <c r="E342" s="2" cm="1">
        <f t="array" aca="1" ref="E342" ca="1">_FV(B342,"Price")</f>
        <v>46.85</v>
      </c>
      <c r="F342" s="1" cm="1">
        <f t="array" aca="1" ref="F342" ca="1">_FV(B342,"Change (%)",TRUE)</f>
        <v>-3.8269999999999997E-3</v>
      </c>
      <c r="G342" s="3" cm="1">
        <f t="array" aca="1" ref="G342" ca="1">_FV(B342,"Market cap",TRUE)</f>
        <v>95343540000</v>
      </c>
    </row>
    <row r="343" spans="1:7" ht="18" x14ac:dyDescent="0.3">
      <c r="A343" t="s">
        <v>715</v>
      </c>
      <c r="B343" t="e" vm="382">
        <v>#VALUE!</v>
      </c>
      <c r="C343" s="7" t="s">
        <v>699</v>
      </c>
      <c r="D343" t="s">
        <v>716</v>
      </c>
      <c r="E343" s="2" cm="1">
        <f t="array" aca="1" ref="E343" ca="1">_FV(B343,"Price")</f>
        <v>716.09</v>
      </c>
      <c r="F343" s="1" cm="1">
        <f t="array" aca="1" ref="F343" ca="1">_FV(B343,"Change (%)",TRUE)</f>
        <v>7.6690000000000005E-3</v>
      </c>
      <c r="G343" s="3" cm="1">
        <f t="array" aca="1" ref="G343" ca="1">_FV(B343,"Market cap",TRUE)</f>
        <v>89591620000</v>
      </c>
    </row>
    <row r="344" spans="1:7" ht="18" x14ac:dyDescent="0.3">
      <c r="A344" t="s">
        <v>717</v>
      </c>
      <c r="B344" t="e" vm="383">
        <v>#VALUE!</v>
      </c>
      <c r="C344" s="7" t="s">
        <v>699</v>
      </c>
      <c r="D344" t="s">
        <v>718</v>
      </c>
      <c r="E344" s="2" cm="1">
        <f t="array" aca="1" ref="E344" ca="1">_FV(B344,"Price")</f>
        <v>162.58000000000001</v>
      </c>
      <c r="F344" s="1" cm="1">
        <f t="array" aca="1" ref="F344" ca="1">_FV(B344,"Change (%)",TRUE)</f>
        <v>3.7659999999999998E-3</v>
      </c>
      <c r="G344" s="3" cm="1">
        <f t="array" aca="1" ref="G344" ca="1">_FV(B344,"Market cap",TRUE)</f>
        <v>72381920000</v>
      </c>
    </row>
    <row r="345" spans="1:7" ht="18" x14ac:dyDescent="0.3">
      <c r="A345" t="s">
        <v>719</v>
      </c>
      <c r="B345" t="e" vm="384">
        <v>#VALUE!</v>
      </c>
      <c r="C345" s="7" t="s">
        <v>699</v>
      </c>
      <c r="D345" t="s">
        <v>720</v>
      </c>
      <c r="E345" s="2" cm="1">
        <f t="array" aca="1" ref="E345" ca="1">_FV(B345,"Price")</f>
        <v>152.75</v>
      </c>
      <c r="F345" s="1" cm="1">
        <f t="array" aca="1" ref="F345" ca="1">_FV(B345,"Change (%)",TRUE)</f>
        <v>1.7050000000000001E-3</v>
      </c>
      <c r="G345" s="3" cm="1">
        <f t="array" aca="1" ref="G345" ca="1">_FV(B345,"Market cap",TRUE)</f>
        <v>36457910000</v>
      </c>
    </row>
    <row r="346" spans="1:7" ht="18" x14ac:dyDescent="0.3">
      <c r="A346" t="s">
        <v>721</v>
      </c>
      <c r="B346" t="e" vm="385">
        <v>#VALUE!</v>
      </c>
      <c r="C346" s="7" t="s">
        <v>699</v>
      </c>
      <c r="D346" t="s">
        <v>722</v>
      </c>
      <c r="E346" s="2" cm="1">
        <f t="array" aca="1" ref="E346" ca="1">_FV(B346,"Price")</f>
        <v>125.81</v>
      </c>
      <c r="F346" s="1" cm="1">
        <f t="array" aca="1" ref="F346" ca="1">_FV(B346,"Change (%)",TRUE)</f>
        <v>-3.8800000000000002E-3</v>
      </c>
      <c r="G346" s="3" cm="1">
        <f t="array" aca="1" ref="G346" ca="1">_FV(B346,"Market cap",TRUE)</f>
        <v>18434580000</v>
      </c>
    </row>
    <row r="347" spans="1:7" ht="18" x14ac:dyDescent="0.3">
      <c r="A347" t="s">
        <v>723</v>
      </c>
      <c r="B347" t="e" vm="386">
        <v>#VALUE!</v>
      </c>
      <c r="C347" s="7" t="s">
        <v>699</v>
      </c>
      <c r="D347" t="s">
        <v>724</v>
      </c>
      <c r="E347" s="2" cm="1">
        <f t="array" aca="1" ref="E347" ca="1">_FV(B347,"Price")</f>
        <v>8.2899999999999991</v>
      </c>
      <c r="F347" s="1" cm="1">
        <f t="array" aca="1" ref="F347" ca="1">_FV(B347,"Change (%)",TRUE)</f>
        <v>-1.0740000000000001E-2</v>
      </c>
      <c r="G347" s="3" cm="1">
        <f t="array" aca="1" ref="G347" ca="1">_FV(B347,"Market cap",TRUE)</f>
        <v>9729823000</v>
      </c>
    </row>
    <row r="348" spans="1:7" ht="18" x14ac:dyDescent="0.3">
      <c r="A348" t="s">
        <v>725</v>
      </c>
      <c r="B348" t="e" vm="387">
        <v>#VALUE!</v>
      </c>
      <c r="C348" s="7" t="s">
        <v>699</v>
      </c>
      <c r="D348" t="s">
        <v>726</v>
      </c>
      <c r="E348" s="2" cm="1">
        <f t="array" aca="1" ref="E348" ca="1">_FV(B348,"Price")</f>
        <v>64.245000000000005</v>
      </c>
      <c r="F348" s="1" cm="1">
        <f t="array" aca="1" ref="F348" ca="1">_FV(B348,"Change (%)",TRUE)</f>
        <v>-4.1079999999999997E-3</v>
      </c>
      <c r="G348" s="3" cm="1">
        <f t="array" aca="1" ref="G348" ca="1">_FV(B348,"Market cap",TRUE)</f>
        <v>12435900000</v>
      </c>
    </row>
    <row r="349" spans="1:7" ht="18" x14ac:dyDescent="0.3">
      <c r="A349" t="s">
        <v>727</v>
      </c>
      <c r="B349" t="e" vm="7">
        <v>#VALUE!</v>
      </c>
      <c r="C349" s="6" t="s">
        <v>728</v>
      </c>
      <c r="D349" t="s">
        <v>729</v>
      </c>
      <c r="E349" s="2" cm="1">
        <f t="array" aca="1" ref="E349" ca="1">_FV(B349,"Price")</f>
        <v>131.29</v>
      </c>
      <c r="F349" s="1" cm="1">
        <f t="array" aca="1" ref="F349" ca="1">_FV(B349,"Change (%)",TRUE)</f>
        <v>-1.1594E-2</v>
      </c>
      <c r="G349" s="3" cm="1">
        <f t="array" aca="1" ref="G349" ca="1">_FV(B349,"Market cap",TRUE)</f>
        <v>3201842000000</v>
      </c>
    </row>
    <row r="350" spans="1:7" ht="18" x14ac:dyDescent="0.3">
      <c r="A350" t="s">
        <v>730</v>
      </c>
      <c r="B350" t="e" vm="388">
        <v>#VALUE!</v>
      </c>
      <c r="C350" s="6" t="s">
        <v>728</v>
      </c>
      <c r="D350" t="s">
        <v>731</v>
      </c>
      <c r="E350" s="2" cm="1">
        <f t="array" aca="1" ref="E350" ca="1">_FV(B350,"Price")</f>
        <v>228.72</v>
      </c>
      <c r="F350" s="1" cm="1">
        <f t="array" aca="1" ref="F350" ca="1">_FV(B350,"Change (%)",TRUE)</f>
        <v>-7.8510000000000003E-3</v>
      </c>
      <c r="G350" s="3" cm="1">
        <f t="array" aca="1" ref="G350" ca="1">_FV(B350,"Market cap",TRUE)</f>
        <v>1075430000000</v>
      </c>
    </row>
    <row r="351" spans="1:7" ht="18" x14ac:dyDescent="0.3">
      <c r="A351" t="s">
        <v>732</v>
      </c>
      <c r="B351" t="e" vm="389">
        <v>#VALUE!</v>
      </c>
      <c r="C351" s="6" t="s">
        <v>728</v>
      </c>
      <c r="D351" t="s">
        <v>733</v>
      </c>
      <c r="E351" s="2" cm="1">
        <f t="array" aca="1" ref="E351" ca="1">_FV(B351,"Price")</f>
        <v>145.38</v>
      </c>
      <c r="F351" s="1" cm="1">
        <f t="array" aca="1" ref="F351" ca="1">_FV(B351,"Change (%)",TRUE)</f>
        <v>-1.3503000000000001E-2</v>
      </c>
      <c r="G351" s="3" cm="1">
        <f t="array" aca="1" ref="G351" ca="1">_FV(B351,"Market cap",TRUE)</f>
        <v>158294700000</v>
      </c>
    </row>
    <row r="352" spans="1:7" ht="18" x14ac:dyDescent="0.3">
      <c r="A352" t="s">
        <v>734</v>
      </c>
      <c r="B352" t="e" vm="390">
        <v>#VALUE!</v>
      </c>
      <c r="C352" s="6" t="s">
        <v>728</v>
      </c>
      <c r="D352" t="s">
        <v>735</v>
      </c>
      <c r="E352" s="2" cm="1">
        <f t="array" aca="1" ref="E352" ca="1">_FV(B352,"Price")</f>
        <v>176.3</v>
      </c>
      <c r="F352" s="1" cm="1">
        <f t="array" aca="1" ref="F352" ca="1">_FV(B352,"Change (%)",TRUE)</f>
        <v>-2.1697000000000001E-2</v>
      </c>
      <c r="G352" s="3" cm="1">
        <f t="array" aca="1" ref="G352" ca="1">_FV(B352,"Market cap",TRUE)</f>
        <v>160163600000</v>
      </c>
    </row>
    <row r="353" spans="1:7" ht="18" x14ac:dyDescent="0.3">
      <c r="A353" t="s">
        <v>736</v>
      </c>
      <c r="B353" t="e" vm="391">
        <v>#VALUE!</v>
      </c>
      <c r="C353" s="6" t="s">
        <v>728</v>
      </c>
      <c r="D353" t="s">
        <v>737</v>
      </c>
      <c r="E353" s="2" cm="1">
        <f t="array" aca="1" ref="E353" ca="1">_FV(B353,"Price")</f>
        <v>110.31</v>
      </c>
      <c r="F353" s="1" cm="1">
        <f t="array" aca="1" ref="F353" ca="1">_FV(B353,"Change (%)",TRUE)</f>
        <v>-3.6129999999999999E-3</v>
      </c>
      <c r="G353" s="3" cm="1">
        <f t="array" aca="1" ref="G353" ca="1">_FV(B353,"Market cap",TRUE)</f>
        <v>178857100000</v>
      </c>
    </row>
    <row r="354" spans="1:7" ht="18" x14ac:dyDescent="0.3">
      <c r="A354" t="s">
        <v>738</v>
      </c>
      <c r="B354" t="e" vm="392">
        <v>#VALUE!</v>
      </c>
      <c r="C354" s="6" t="s">
        <v>728</v>
      </c>
      <c r="D354" t="s">
        <v>739</v>
      </c>
      <c r="E354" s="2" cm="1">
        <f t="array" aca="1" ref="E354" ca="1">_FV(B354,"Price")</f>
        <v>157.51</v>
      </c>
      <c r="F354" s="1" cm="1">
        <f t="array" aca="1" ref="F354" ca="1">_FV(B354,"Change (%)",TRUE)</f>
        <v>-1.8752000000000001E-2</v>
      </c>
      <c r="G354" s="3" cm="1">
        <f t="array" aca="1" ref="G354" ca="1">_FV(B354,"Market cap",TRUE)</f>
        <v>126401500000</v>
      </c>
    </row>
    <row r="355" spans="1:7" ht="18" x14ac:dyDescent="0.3">
      <c r="A355" t="s">
        <v>740</v>
      </c>
      <c r="B355" t="e" vm="393">
        <v>#VALUE!</v>
      </c>
      <c r="C355" s="6" t="s">
        <v>728</v>
      </c>
      <c r="D355" t="s">
        <v>741</v>
      </c>
      <c r="E355" s="2" cm="1">
        <f t="array" aca="1" ref="E355" ca="1">_FV(B355,"Price")</f>
        <v>210.47</v>
      </c>
      <c r="F355" s="1" cm="1">
        <f t="array" aca="1" ref="F355" ca="1">_FV(B355,"Change (%)",TRUE)</f>
        <v>-6.8889999999999993E-3</v>
      </c>
      <c r="G355" s="3" cm="1">
        <f t="array" aca="1" ref="G355" ca="1">_FV(B355,"Market cap",TRUE)</f>
        <v>104445400000</v>
      </c>
    </row>
    <row r="356" spans="1:7" ht="18" x14ac:dyDescent="0.3">
      <c r="A356" t="s">
        <v>742</v>
      </c>
      <c r="B356" t="e" vm="394">
        <v>#VALUE!</v>
      </c>
      <c r="C356" s="6" t="s">
        <v>728</v>
      </c>
      <c r="D356" t="s">
        <v>743</v>
      </c>
      <c r="E356" s="2" cm="1">
        <f t="array" aca="1" ref="E356" ca="1">_FV(B356,"Price")</f>
        <v>93.37</v>
      </c>
      <c r="F356" s="1" cm="1">
        <f t="array" aca="1" ref="F356" ca="1">_FV(B356,"Change (%)",TRUE)</f>
        <v>-1.5396E-2</v>
      </c>
      <c r="G356" s="3" cm="1">
        <f t="array" aca="1" ref="G356" ca="1">_FV(B356,"Market cap",TRUE)</f>
        <v>104347700000</v>
      </c>
    </row>
    <row r="357" spans="1:7" ht="18" x14ac:dyDescent="0.3">
      <c r="A357" t="s">
        <v>744</v>
      </c>
      <c r="B357" t="e" vm="395">
        <v>#VALUE!</v>
      </c>
      <c r="C357" s="6" t="s">
        <v>728</v>
      </c>
      <c r="D357" t="s">
        <v>745</v>
      </c>
      <c r="E357" s="2" cm="1">
        <f t="array" aca="1" ref="E357" ca="1">_FV(B357,"Price")</f>
        <v>81.06</v>
      </c>
      <c r="F357" s="1" cm="1">
        <f t="array" aca="1" ref="F357" ca="1">_FV(B357,"Change (%)",TRUE)</f>
        <v>-1.8169000000000001E-2</v>
      </c>
      <c r="G357" s="3" cm="1">
        <f t="array" aca="1" ref="G357" ca="1">_FV(B357,"Market cap",TRUE)</f>
        <v>103685300000</v>
      </c>
    </row>
    <row r="358" spans="1:7" ht="18" x14ac:dyDescent="0.3">
      <c r="A358" t="s">
        <v>746</v>
      </c>
      <c r="B358" t="e" vm="396">
        <v>#VALUE!</v>
      </c>
      <c r="C358" s="6" t="s">
        <v>728</v>
      </c>
      <c r="D358" t="s">
        <v>747</v>
      </c>
      <c r="E358" s="2" cm="1">
        <f t="array" aca="1" ref="E358" ca="1">_FV(B358,"Price")</f>
        <v>757.17</v>
      </c>
      <c r="F358" s="1" cm="1">
        <f t="array" aca="1" ref="F358" ca="1">_FV(B358,"Change (%)",TRUE)</f>
        <v>-1.3472E-2</v>
      </c>
      <c r="G358" s="3" cm="1">
        <f t="array" aca="1" ref="G358" ca="1">_FV(B358,"Market cap",TRUE)</f>
        <v>100617900000</v>
      </c>
    </row>
    <row r="359" spans="1:7" ht="18" x14ac:dyDescent="0.3">
      <c r="A359" t="s">
        <v>748</v>
      </c>
      <c r="B359" t="e" vm="397">
        <v>#VALUE!</v>
      </c>
      <c r="C359" s="6" t="s">
        <v>728</v>
      </c>
      <c r="D359" t="s">
        <v>749</v>
      </c>
      <c r="E359" s="2" cm="1">
        <f t="array" aca="1" ref="E359" ca="1">_FV(B359,"Price")</f>
        <v>20.05</v>
      </c>
      <c r="F359" s="1" cm="1">
        <f t="array" aca="1" ref="F359" ca="1">_FV(B359,"Change (%)",TRUE)</f>
        <v>-2.4331000000000002E-2</v>
      </c>
      <c r="G359" s="3" cm="1">
        <f t="array" aca="1" ref="G359" ca="1">_FV(B359,"Market cap",TRUE)</f>
        <v>87458100000</v>
      </c>
    </row>
    <row r="360" spans="1:7" ht="18" x14ac:dyDescent="0.3">
      <c r="A360" t="s">
        <v>750</v>
      </c>
      <c r="B360" t="e" vm="398">
        <v>#VALUE!</v>
      </c>
      <c r="C360" s="6" t="s">
        <v>728</v>
      </c>
      <c r="D360" t="s">
        <v>751</v>
      </c>
      <c r="E360" s="2" cm="1">
        <f t="array" aca="1" ref="E360" ca="1">_FV(B360,"Price")</f>
        <v>192.15</v>
      </c>
      <c r="F360" s="1" cm="1">
        <f t="array" aca="1" ref="F360" ca="1">_FV(B360,"Change (%)",TRUE)</f>
        <v>-2.2187000000000002E-2</v>
      </c>
      <c r="G360" s="3" cm="1">
        <f t="array" aca="1" ref="G360" ca="1">_FV(B360,"Market cap",TRUE)</f>
        <v>48542610000</v>
      </c>
    </row>
    <row r="361" spans="1:7" ht="18" x14ac:dyDescent="0.3">
      <c r="A361" t="s">
        <v>752</v>
      </c>
      <c r="B361" t="e" vm="399">
        <v>#VALUE!</v>
      </c>
      <c r="C361" s="6" t="s">
        <v>728</v>
      </c>
      <c r="D361" t="s">
        <v>753</v>
      </c>
      <c r="E361" s="2" cm="1">
        <f t="array" aca="1" ref="E361" ca="1">_FV(B361,"Price")</f>
        <v>56.19</v>
      </c>
      <c r="F361" s="1" cm="1">
        <f t="array" aca="1" ref="F361" ca="1">_FV(B361,"Change (%)",TRUE)</f>
        <v>-3.2041E-2</v>
      </c>
      <c r="G361" s="3" cm="1">
        <f t="array" aca="1" ref="G361" ca="1">_FV(B361,"Market cap",TRUE)</f>
        <v>30220050000</v>
      </c>
    </row>
    <row r="362" spans="1:7" ht="18" x14ac:dyDescent="0.3">
      <c r="A362" t="s">
        <v>754</v>
      </c>
      <c r="B362" t="e" vm="400">
        <v>#VALUE!</v>
      </c>
      <c r="C362" s="6" t="s">
        <v>728</v>
      </c>
      <c r="D362" t="s">
        <v>755</v>
      </c>
      <c r="E362" s="2" cm="1">
        <f t="array" aca="1" ref="E362" ca="1">_FV(B362,"Price")</f>
        <v>662.18</v>
      </c>
      <c r="F362" s="1" cm="1">
        <f t="array" aca="1" ref="F362" ca="1">_FV(B362,"Change (%)",TRUE)</f>
        <v>-1.4905999999999999E-2</v>
      </c>
      <c r="G362" s="3" cm="1">
        <f t="array" aca="1" ref="G362" ca="1">_FV(B362,"Market cap",TRUE)</f>
        <v>31705180000</v>
      </c>
    </row>
    <row r="363" spans="1:7" ht="18" x14ac:dyDescent="0.3">
      <c r="A363" t="s">
        <v>756</v>
      </c>
      <c r="B363" t="e" vm="401">
        <v>#VALUE!</v>
      </c>
      <c r="C363" s="6" t="s">
        <v>728</v>
      </c>
      <c r="D363" t="s">
        <v>757</v>
      </c>
      <c r="E363" s="2" cm="1">
        <f t="array" aca="1" ref="E363" ca="1">_FV(B363,"Price")</f>
        <v>41.27</v>
      </c>
      <c r="F363" s="1" cm="1">
        <f t="array" aca="1" ref="F363" ca="1">_FV(B363,"Change (%)",TRUE)</f>
        <v>-2.4119000000000002E-2</v>
      </c>
      <c r="G363" s="3" cm="1">
        <f t="array" aca="1" ref="G363" ca="1">_FV(B363,"Market cap",TRUE)</f>
        <v>17246130000</v>
      </c>
    </row>
    <row r="364" spans="1:7" ht="18" x14ac:dyDescent="0.3">
      <c r="A364" t="s">
        <v>758</v>
      </c>
      <c r="B364" t="e" vm="402">
        <v>#VALUE!</v>
      </c>
      <c r="C364" s="6" t="s">
        <v>728</v>
      </c>
      <c r="D364" t="s">
        <v>759</v>
      </c>
      <c r="E364" s="2" cm="1">
        <f t="array" aca="1" ref="E364" ca="1">_FV(B364,"Price")</f>
        <v>76.98</v>
      </c>
      <c r="F364" s="1" cm="1">
        <f t="array" aca="1" ref="F364" ca="1">_FV(B364,"Change (%)",TRUE)</f>
        <v>-1.9237999999999998E-2</v>
      </c>
      <c r="G364" s="3" cm="1">
        <f t="array" aca="1" ref="G364" ca="1">_FV(B364,"Market cap",TRUE)</f>
        <v>12349150000</v>
      </c>
    </row>
    <row r="365" spans="1:7" ht="18" x14ac:dyDescent="0.3">
      <c r="A365" t="s">
        <v>760</v>
      </c>
      <c r="B365" t="e" vm="403">
        <v>#VALUE!</v>
      </c>
      <c r="C365" s="6" t="s">
        <v>728</v>
      </c>
      <c r="D365" t="s">
        <v>761</v>
      </c>
      <c r="E365" s="2" cm="1">
        <f t="array" aca="1" ref="E365" ca="1">_FV(B365,"Price")</f>
        <v>69.39</v>
      </c>
      <c r="F365" s="1" cm="1">
        <f t="array" aca="1" ref="F365" ca="1">_FV(B365,"Change (%)",TRUE)</f>
        <v>-1.3786E-2</v>
      </c>
      <c r="G365" s="3" cm="1">
        <f t="array" aca="1" ref="G365" ca="1">_FV(B365,"Market cap",TRUE)</f>
        <v>10417460000</v>
      </c>
    </row>
    <row r="366" spans="1:7" ht="18" x14ac:dyDescent="0.3">
      <c r="A366" t="s">
        <v>762</v>
      </c>
      <c r="B366" t="e" vm="1">
        <v>#VALUE!</v>
      </c>
      <c r="C366" s="6" t="s">
        <v>763</v>
      </c>
      <c r="D366" t="s">
        <v>764</v>
      </c>
      <c r="E366" s="2" cm="1">
        <f t="array" aca="1" ref="E366" ca="1">_FV(B366,"Price")</f>
        <v>450.18</v>
      </c>
      <c r="F366" s="1" cm="1">
        <f t="array" aca="1" ref="F366" ca="1">_FV(B366,"Change (%)",TRUE)</f>
        <v>-1.0289E-2</v>
      </c>
      <c r="G366" s="3" cm="1">
        <f t="array" aca="1" ref="G366" ca="1">_FV(B366,"Market cap",TRUE)</f>
        <v>3345983000000</v>
      </c>
    </row>
    <row r="367" spans="1:7" ht="18" x14ac:dyDescent="0.3">
      <c r="A367" t="s">
        <v>765</v>
      </c>
      <c r="B367" t="e" vm="404">
        <v>#VALUE!</v>
      </c>
      <c r="C367" s="6" t="s">
        <v>763</v>
      </c>
      <c r="D367" t="s">
        <v>766</v>
      </c>
      <c r="E367" s="2" cm="1">
        <f t="array" aca="1" ref="E367" ca="1">_FV(B367,"Price")</f>
        <v>627.05999999999995</v>
      </c>
      <c r="F367" s="1" cm="1">
        <f t="array" aca="1" ref="F367" ca="1">_FV(B367,"Change (%)",TRUE)</f>
        <v>-1.4939000000000001E-2</v>
      </c>
      <c r="G367" s="3" cm="1">
        <f t="array" aca="1" ref="G367" ca="1">_FV(B367,"Market cap",TRUE)</f>
        <v>1576634000000</v>
      </c>
    </row>
    <row r="368" spans="1:7" ht="18" x14ac:dyDescent="0.3">
      <c r="A368" t="s">
        <v>767</v>
      </c>
      <c r="B368" t="e" vm="26">
        <v>#VALUE!</v>
      </c>
      <c r="C368" s="6" t="s">
        <v>763</v>
      </c>
      <c r="D368" t="s">
        <v>768</v>
      </c>
      <c r="E368" s="2" cm="1">
        <f t="array" aca="1" ref="E368" ca="1">_FV(B368,"Price")</f>
        <v>168.47</v>
      </c>
      <c r="F368" s="1" cm="1">
        <f t="array" aca="1" ref="F368" ca="1">_FV(B368,"Change (%)",TRUE)</f>
        <v>-1.4046000000000001E-2</v>
      </c>
      <c r="G368" s="3" cm="1">
        <f t="array" aca="1" ref="G368" ca="1">_FV(B368,"Market cap",TRUE)</f>
        <v>2050498000000</v>
      </c>
    </row>
    <row r="369" spans="1:7" ht="18" x14ac:dyDescent="0.3">
      <c r="A369" t="s">
        <v>769</v>
      </c>
      <c r="B369" t="e" vm="21">
        <v>#VALUE!</v>
      </c>
      <c r="C369" s="6" t="s">
        <v>763</v>
      </c>
      <c r="D369" t="s">
        <v>770</v>
      </c>
      <c r="E369" s="2" cm="1">
        <f t="array" aca="1" ref="E369" ca="1">_FV(B369,"Price")</f>
        <v>169.59</v>
      </c>
      <c r="F369" s="1" cm="1">
        <f t="array" aca="1" ref="F369" ca="1">_FV(B369,"Change (%)",TRUE)</f>
        <v>-1.3897E-2</v>
      </c>
      <c r="G369" s="3" cm="1">
        <f t="array" aca="1" ref="G369" ca="1">_FV(B369,"Market cap",TRUE)</f>
        <v>2050498000000</v>
      </c>
    </row>
    <row r="370" spans="1:7" ht="18" x14ac:dyDescent="0.3">
      <c r="A370" t="s">
        <v>771</v>
      </c>
      <c r="B370" t="e" vm="43">
        <v>#VALUE!</v>
      </c>
      <c r="C370" s="6" t="s">
        <v>763</v>
      </c>
      <c r="D370" t="s">
        <v>772</v>
      </c>
      <c r="E370" s="2" cm="1">
        <f t="array" aca="1" ref="E370" ca="1">_FV(B370,"Price")</f>
        <v>353.54</v>
      </c>
      <c r="F370" s="1" cm="1">
        <f t="array" aca="1" ref="F370" ca="1">_FV(B370,"Change (%)",TRUE)</f>
        <v>-1.2375000000000001E-2</v>
      </c>
      <c r="G370" s="3" cm="1">
        <f t="array" aca="1" ref="G370" ca="1">_FV(B370,"Market cap",TRUE)</f>
        <v>685570400000</v>
      </c>
    </row>
    <row r="371" spans="1:7" ht="18" x14ac:dyDescent="0.3">
      <c r="A371" t="s">
        <v>773</v>
      </c>
      <c r="B371" t="e" vm="44">
        <v>#VALUE!</v>
      </c>
      <c r="C371" s="6" t="s">
        <v>763</v>
      </c>
      <c r="D371" t="s">
        <v>774</v>
      </c>
      <c r="E371" s="2" cm="1">
        <f t="array" aca="1" ref="E371" ca="1">_FV(B371,"Price")</f>
        <v>563.58000000000004</v>
      </c>
      <c r="F371" s="1" cm="1">
        <f t="array" aca="1" ref="F371" ca="1">_FV(B371,"Change (%)",TRUE)</f>
        <v>-1.1506000000000001E-2</v>
      </c>
      <c r="G371" s="3" cm="1">
        <f t="array" aca="1" ref="G371" ca="1">_FV(B371,"Market cap",TRUE)</f>
        <v>511757500000</v>
      </c>
    </row>
    <row r="372" spans="1:7" ht="18" x14ac:dyDescent="0.3">
      <c r="A372" t="s">
        <v>775</v>
      </c>
      <c r="B372" t="e" vm="405">
        <v>#VALUE!</v>
      </c>
      <c r="C372" s="6" t="s">
        <v>763</v>
      </c>
      <c r="D372" t="s">
        <v>776</v>
      </c>
      <c r="E372" s="2" cm="1">
        <f t="array" aca="1" ref="E372" ca="1">_FV(B372,"Price")</f>
        <v>1185.3900000000001</v>
      </c>
      <c r="F372" s="1" cm="1">
        <f t="array" aca="1" ref="F372" ca="1">_FV(B372,"Change (%)",TRUE)</f>
        <v>-2.1719999999999999E-3</v>
      </c>
      <c r="G372" s="3" cm="1">
        <f t="array" aca="1" ref="G372" ca="1">_FV(B372,"Market cap",TRUE)</f>
        <v>504467900000</v>
      </c>
    </row>
    <row r="373" spans="1:7" ht="18" x14ac:dyDescent="0.3">
      <c r="A373" t="s">
        <v>777</v>
      </c>
      <c r="B373" t="e" vm="406">
        <v>#VALUE!</v>
      </c>
      <c r="C373" s="6" t="s">
        <v>763</v>
      </c>
      <c r="D373" t="s">
        <v>778</v>
      </c>
      <c r="E373" s="2" cm="1">
        <f t="array" aca="1" ref="E373" ca="1">_FV(B373,"Price")</f>
        <v>273.13</v>
      </c>
      <c r="F373" s="1" cm="1">
        <f t="array" aca="1" ref="F373" ca="1">_FV(B373,"Change (%)",TRUE)</f>
        <v>-3.6306999999999999E-2</v>
      </c>
      <c r="G373" s="3" cm="1">
        <f t="array" aca="1" ref="G373" ca="1">_FV(B373,"Market cap",TRUE)</f>
        <v>262061000000</v>
      </c>
    </row>
    <row r="374" spans="1:7" ht="18" x14ac:dyDescent="0.3">
      <c r="A374" t="s">
        <v>779</v>
      </c>
      <c r="B374" t="e" vm="407">
        <v>#VALUE!</v>
      </c>
      <c r="C374" s="6" t="s">
        <v>763</v>
      </c>
      <c r="D374" t="s">
        <v>780</v>
      </c>
      <c r="E374" s="2" cm="1">
        <f t="array" aca="1" ref="E374" ca="1">_FV(B374,"Price")</f>
        <v>155.97</v>
      </c>
      <c r="F374" s="1" cm="1">
        <f t="array" aca="1" ref="F374" ca="1">_FV(B374,"Change (%)",TRUE)</f>
        <v>-8.5179999999999995E-3</v>
      </c>
      <c r="G374" s="3" cm="1">
        <f t="array" aca="1" ref="G374" ca="1">_FV(B374,"Market cap",TRUE)</f>
        <v>437376400000</v>
      </c>
    </row>
    <row r="375" spans="1:7" ht="18" x14ac:dyDescent="0.3">
      <c r="A375" t="s">
        <v>781</v>
      </c>
      <c r="B375" t="e" vm="42">
        <v>#VALUE!</v>
      </c>
      <c r="C375" s="6" t="s">
        <v>763</v>
      </c>
      <c r="D375" t="s">
        <v>782</v>
      </c>
      <c r="E375" s="2" cm="1">
        <f t="array" aca="1" ref="E375" ca="1">_FV(B375,"Price")</f>
        <v>258.63</v>
      </c>
      <c r="F375" s="1" cm="1">
        <f t="array" aca="1" ref="F375" ca="1">_FV(B375,"Change (%)",TRUE)</f>
        <v>1.0059999999999999E-3</v>
      </c>
      <c r="G375" s="3" cm="1">
        <f t="array" aca="1" ref="G375" ca="1">_FV(B375,"Market cap",TRUE)</f>
        <v>240369800000</v>
      </c>
    </row>
    <row r="376" spans="1:7" ht="18" x14ac:dyDescent="0.3">
      <c r="A376" t="s">
        <v>783</v>
      </c>
      <c r="B376" t="e" vm="408">
        <v>#VALUE!</v>
      </c>
      <c r="C376" s="6" t="s">
        <v>763</v>
      </c>
      <c r="D376" t="s">
        <v>784</v>
      </c>
      <c r="E376" s="2" cm="1">
        <f t="array" aca="1" ref="E376" ca="1">_FV(B376,"Price")</f>
        <v>309.58</v>
      </c>
      <c r="F376" s="1" cm="1">
        <f t="array" aca="1" ref="F376" ca="1">_FV(B376,"Change (%)",TRUE)</f>
        <v>-2.1709999999999997E-2</v>
      </c>
      <c r="G376" s="3" cm="1">
        <f t="array" aca="1" ref="G376" ca="1">_FV(B376,"Market cap",TRUE)</f>
        <v>193805100000</v>
      </c>
    </row>
    <row r="377" spans="1:7" ht="18" x14ac:dyDescent="0.3">
      <c r="A377" t="s">
        <v>785</v>
      </c>
      <c r="B377" t="e" vm="409">
        <v>#VALUE!</v>
      </c>
      <c r="C377" s="6" t="s">
        <v>763</v>
      </c>
      <c r="D377" t="s">
        <v>786</v>
      </c>
      <c r="E377" s="2" cm="1">
        <f t="array" aca="1" ref="E377" ca="1">_FV(B377,"Price")</f>
        <v>407.69</v>
      </c>
      <c r="F377" s="1" cm="1">
        <f t="array" aca="1" ref="F377" ca="1">_FV(B377,"Change (%)",TRUE)</f>
        <v>-1.6025999999999999E-2</v>
      </c>
      <c r="G377" s="3" cm="1">
        <f t="array" aca="1" ref="G377" ca="1">_FV(B377,"Market cap",TRUE)</f>
        <v>173757500000</v>
      </c>
    </row>
    <row r="378" spans="1:7" ht="18" x14ac:dyDescent="0.3">
      <c r="A378" t="s">
        <v>787</v>
      </c>
      <c r="B378" t="e" vm="410">
        <v>#VALUE!</v>
      </c>
      <c r="C378" s="6" t="s">
        <v>763</v>
      </c>
      <c r="D378" t="s">
        <v>788</v>
      </c>
      <c r="E378" s="2" cm="1">
        <f t="array" aca="1" ref="E378" ca="1">_FV(B378,"Price")</f>
        <v>1004.37</v>
      </c>
      <c r="F378" s="1" cm="1">
        <f t="array" aca="1" ref="F378" ca="1">_FV(B378,"Change (%)",TRUE)</f>
        <v>-1.1223E-2</v>
      </c>
      <c r="G378" s="3" cm="1">
        <f t="array" aca="1" ref="G378" ca="1">_FV(B378,"Market cap",TRUE)</f>
        <v>207887400000</v>
      </c>
    </row>
    <row r="379" spans="1:7" ht="18" x14ac:dyDescent="0.3">
      <c r="A379" t="s">
        <v>789</v>
      </c>
      <c r="B379" t="e" vm="411">
        <v>#VALUE!</v>
      </c>
      <c r="C379" s="6" t="s">
        <v>763</v>
      </c>
      <c r="D379" t="s">
        <v>790</v>
      </c>
      <c r="E379" s="2" cm="1">
        <f t="array" aca="1" ref="E379" ca="1">_FV(B379,"Price")</f>
        <v>123.31</v>
      </c>
      <c r="F379" s="1" cm="1">
        <f t="array" aca="1" ref="F379" ca="1">_FV(B379,"Change (%)",TRUE)</f>
        <v>8.3409999999999995E-3</v>
      </c>
      <c r="G379" s="3" cm="1">
        <f t="array" aca="1" ref="G379" ca="1">_FV(B379,"Market cap",TRUE)</f>
        <v>291000800000</v>
      </c>
    </row>
    <row r="380" spans="1:7" ht="18" x14ac:dyDescent="0.3">
      <c r="A380" t="s">
        <v>791</v>
      </c>
      <c r="B380" t="e" vm="412">
        <v>#VALUE!</v>
      </c>
      <c r="C380" s="6" t="s">
        <v>763</v>
      </c>
      <c r="D380" t="s">
        <v>792</v>
      </c>
      <c r="E380" s="2" cm="1">
        <f t="array" aca="1" ref="E380" ca="1">_FV(B380,"Price")</f>
        <v>87.75</v>
      </c>
      <c r="F380" s="1" cm="1">
        <f t="array" aca="1" ref="F380" ca="1">_FV(B380,"Change (%)",TRUE)</f>
        <v>-2.8410000000000002E-3</v>
      </c>
      <c r="G380" s="3" cm="1">
        <f t="array" aca="1" ref="G380" ca="1">_FV(B380,"Market cap",TRUE)</f>
        <v>183500000000</v>
      </c>
    </row>
    <row r="381" spans="1:7" ht="18" x14ac:dyDescent="0.3">
      <c r="A381" t="s">
        <v>793</v>
      </c>
      <c r="B381" t="e" vm="413">
        <v>#VALUE!</v>
      </c>
      <c r="C381" s="6" t="s">
        <v>763</v>
      </c>
      <c r="D381" t="s">
        <v>794</v>
      </c>
      <c r="E381" s="2" cm="1">
        <f t="array" aca="1" ref="E381" ca="1">_FV(B381,"Price")</f>
        <v>321.08999999999997</v>
      </c>
      <c r="F381" s="1" cm="1">
        <f t="array" aca="1" ref="F381" ca="1">_FV(B381,"Change (%)",TRUE)</f>
        <v>-1.7410000000000001E-3</v>
      </c>
      <c r="G381" s="3" cm="1">
        <f t="array" aca="1" ref="G381" ca="1">_FV(B381,"Market cap",TRUE)</f>
        <v>130337700000</v>
      </c>
    </row>
    <row r="382" spans="1:7" ht="18" x14ac:dyDescent="0.3">
      <c r="A382" t="s">
        <v>795</v>
      </c>
      <c r="B382" t="e" vm="414">
        <v>#VALUE!</v>
      </c>
      <c r="C382" s="6" t="s">
        <v>763</v>
      </c>
      <c r="D382" t="s">
        <v>796</v>
      </c>
      <c r="E382" s="2" cm="1">
        <f t="array" aca="1" ref="E382" ca="1">_FV(B382,"Price")</f>
        <v>186.75</v>
      </c>
      <c r="F382" s="1" cm="1">
        <f t="array" aca="1" ref="F382" ca="1">_FV(B382,"Change (%)",TRUE)</f>
        <v>3.277E-3</v>
      </c>
      <c r="G382" s="3" cm="1">
        <f t="array" aca="1" ref="G382" ca="1">_FV(B382,"Market cap",TRUE)</f>
        <v>124524900000</v>
      </c>
    </row>
    <row r="383" spans="1:7" ht="18" x14ac:dyDescent="0.3">
      <c r="A383" t="s">
        <v>797</v>
      </c>
      <c r="B383" t="e" vm="415">
        <v>#VALUE!</v>
      </c>
      <c r="C383" s="6" t="s">
        <v>763</v>
      </c>
      <c r="D383" t="s">
        <v>798</v>
      </c>
      <c r="E383" s="2" cm="1">
        <f t="array" aca="1" ref="E383" ca="1">_FV(B383,"Price")</f>
        <v>455.59</v>
      </c>
      <c r="F383" s="1" cm="1">
        <f t="array" aca="1" ref="F383" ca="1">_FV(B383,"Change (%)",TRUE)</f>
        <v>2.5942E-2</v>
      </c>
      <c r="G383" s="3" cm="1">
        <f t="array" aca="1" ref="G383" ca="1">_FV(B383,"Market cap",TRUE)</f>
        <v>113475700000</v>
      </c>
    </row>
    <row r="384" spans="1:7" ht="18" x14ac:dyDescent="0.3">
      <c r="A384" t="s">
        <v>799</v>
      </c>
      <c r="B384" t="e" vm="416">
        <v>#VALUE!</v>
      </c>
      <c r="C384" s="6" t="s">
        <v>763</v>
      </c>
      <c r="D384" t="s">
        <v>800</v>
      </c>
      <c r="E384" s="2" cm="1">
        <f t="array" aca="1" ref="E384" ca="1">_FV(B384,"Price")</f>
        <v>498.85</v>
      </c>
      <c r="F384" s="1" cm="1">
        <f t="array" aca="1" ref="F384" ca="1">_FV(B384,"Change (%)",TRUE)</f>
        <v>-9.1959999999999993E-3</v>
      </c>
      <c r="G384" s="3" cm="1">
        <f t="array" aca="1" ref="G384" ca="1">_FV(B384,"Market cap",TRUE)</f>
        <v>77132230000</v>
      </c>
    </row>
    <row r="385" spans="1:7" ht="18" x14ac:dyDescent="0.3">
      <c r="A385" t="s">
        <v>801</v>
      </c>
      <c r="B385" t="e" vm="417">
        <v>#VALUE!</v>
      </c>
      <c r="C385" s="6" t="s">
        <v>763</v>
      </c>
      <c r="D385" t="s">
        <v>802</v>
      </c>
      <c r="E385" s="2" cm="1">
        <f t="array" aca="1" ref="E385" ca="1">_FV(B385,"Price")</f>
        <v>315.51</v>
      </c>
      <c r="F385" s="1" cm="1">
        <f t="array" aca="1" ref="F385" ca="1">_FV(B385,"Change (%)",TRUE)</f>
        <v>-3.5370000000000002E-3</v>
      </c>
      <c r="G385" s="3" cm="1">
        <f t="array" aca="1" ref="G385" ca="1">_FV(B385,"Market cap",TRUE)</f>
        <v>86147480000</v>
      </c>
    </row>
    <row r="386" spans="1:7" ht="18" x14ac:dyDescent="0.3">
      <c r="A386" t="s">
        <v>803</v>
      </c>
      <c r="B386" t="e" vm="418">
        <v>#VALUE!</v>
      </c>
      <c r="C386" s="6" t="s">
        <v>763</v>
      </c>
      <c r="D386" t="s">
        <v>804</v>
      </c>
      <c r="E386" s="2" cm="1">
        <f t="array" aca="1" ref="E386" ca="1">_FV(B386,"Price")</f>
        <v>103.16</v>
      </c>
      <c r="F386" s="1" cm="1">
        <f t="array" aca="1" ref="F386" ca="1">_FV(B386,"Change (%)",TRUE)</f>
        <v>-4.4390000000000002E-3</v>
      </c>
      <c r="G386" s="3" cm="1">
        <f t="array" aca="1" ref="G386" ca="1">_FV(B386,"Market cap",TRUE)</f>
        <v>78960360000</v>
      </c>
    </row>
    <row r="387" spans="1:7" ht="18" x14ac:dyDescent="0.3">
      <c r="A387" t="s">
        <v>805</v>
      </c>
      <c r="B387" t="e" vm="419">
        <v>#VALUE!</v>
      </c>
      <c r="C387" s="6" t="s">
        <v>763</v>
      </c>
      <c r="D387" t="s">
        <v>806</v>
      </c>
      <c r="E387" s="2" cm="1">
        <f t="array" aca="1" ref="E387" ca="1">_FV(B387,"Price")</f>
        <v>567.03</v>
      </c>
      <c r="F387" s="1" cm="1">
        <f t="array" aca="1" ref="F387" ca="1">_FV(B387,"Change (%)",TRUE)</f>
        <v>-3.5849999999999996E-3</v>
      </c>
      <c r="G387" s="3" cm="1">
        <f t="array" aca="1" ref="G387" ca="1">_FV(B387,"Market cap",TRUE)</f>
        <v>60964460000</v>
      </c>
    </row>
    <row r="388" spans="1:7" ht="18" x14ac:dyDescent="0.3">
      <c r="A388" t="s">
        <v>807</v>
      </c>
      <c r="B388" t="e" vm="420">
        <v>#VALUE!</v>
      </c>
      <c r="C388" s="6" t="s">
        <v>763</v>
      </c>
      <c r="D388" t="s">
        <v>808</v>
      </c>
      <c r="E388" s="2" cm="1">
        <f t="array" aca="1" ref="E388" ca="1">_FV(B388,"Price")</f>
        <v>126.72</v>
      </c>
      <c r="F388" s="1" cm="1">
        <f t="array" aca="1" ref="F388" ca="1">_FV(B388,"Change (%)",TRUE)</f>
        <v>-7.2859999999999999E-3</v>
      </c>
      <c r="G388" s="3" cm="1">
        <f t="array" aca="1" ref="G388" ca="1">_FV(B388,"Market cap",TRUE)</f>
        <v>78213200000</v>
      </c>
    </row>
    <row r="389" spans="1:7" ht="18" x14ac:dyDescent="0.3">
      <c r="A389" t="s">
        <v>809</v>
      </c>
      <c r="B389" t="e" vm="421">
        <v>#VALUE!</v>
      </c>
      <c r="C389" s="6" t="s">
        <v>763</v>
      </c>
      <c r="D389" t="s">
        <v>810</v>
      </c>
      <c r="E389" s="2" cm="1">
        <f t="array" aca="1" ref="E389" ca="1">_FV(B389,"Price")</f>
        <v>295.35000000000002</v>
      </c>
      <c r="F389" s="1" cm="1">
        <f t="array" aca="1" ref="F389" ca="1">_FV(B389,"Change (%)",TRUE)</f>
        <v>1.186E-3</v>
      </c>
      <c r="G389" s="3" cm="1">
        <f t="array" aca="1" ref="G389" ca="1">_FV(B389,"Market cap",TRUE)</f>
        <v>63188520000</v>
      </c>
    </row>
    <row r="390" spans="1:7" ht="18" x14ac:dyDescent="0.3">
      <c r="A390" t="s">
        <v>811</v>
      </c>
      <c r="B390" t="e" vm="422">
        <v>#VALUE!</v>
      </c>
      <c r="C390" s="6" t="s">
        <v>763</v>
      </c>
      <c r="D390" t="s">
        <v>812</v>
      </c>
      <c r="E390" s="2" cm="1">
        <f t="array" aca="1" ref="E390" ca="1">_FV(B390,"Price")</f>
        <v>238.01</v>
      </c>
      <c r="F390" s="1" cm="1">
        <f t="array" aca="1" ref="F390" ca="1">_FV(B390,"Change (%)",TRUE)</f>
        <v>-0.12518799999999999</v>
      </c>
      <c r="G390" s="3" cm="1">
        <f t="array" aca="1" ref="G390" ca="1">_FV(B390,"Market cap",TRUE)</f>
        <v>63663450000</v>
      </c>
    </row>
    <row r="391" spans="1:7" ht="18" x14ac:dyDescent="0.3">
      <c r="A391" t="s">
        <v>813</v>
      </c>
      <c r="B391" t="e" vm="423">
        <v>#VALUE!</v>
      </c>
      <c r="C391" s="6" t="s">
        <v>763</v>
      </c>
      <c r="D391" t="s">
        <v>814</v>
      </c>
      <c r="E391" s="2" cm="1">
        <f t="array" aca="1" ref="E391" ca="1">_FV(B391,"Price")</f>
        <v>53.67</v>
      </c>
      <c r="F391" s="1" cm="1">
        <f t="array" aca="1" ref="F391" ca="1">_FV(B391,"Change (%)",TRUE)</f>
        <v>-0.11523199999999999</v>
      </c>
      <c r="G391" s="3" cm="1">
        <f t="array" aca="1" ref="G391" ca="1">_FV(B391,"Market cap",TRUE)</f>
        <v>51850210000</v>
      </c>
    </row>
    <row r="392" spans="1:7" ht="18" x14ac:dyDescent="0.3">
      <c r="A392" t="s">
        <v>815</v>
      </c>
      <c r="B392" t="e" vm="424">
        <v>#VALUE!</v>
      </c>
      <c r="C392" s="6" t="s">
        <v>763</v>
      </c>
      <c r="D392" t="s">
        <v>816</v>
      </c>
      <c r="E392" s="2" cm="1">
        <f t="array" aca="1" ref="E392" ca="1">_FV(B392,"Price")</f>
        <v>1694.36</v>
      </c>
      <c r="F392" s="1" cm="1">
        <f t="array" aca="1" ref="F392" ca="1">_FV(B392,"Change (%)",TRUE)</f>
        <v>-3.5049999999999999E-3</v>
      </c>
      <c r="G392" s="3" cm="1">
        <f t="array" aca="1" ref="G392" ca="1">_FV(B392,"Market cap",TRUE)</f>
        <v>41243590000</v>
      </c>
    </row>
    <row r="393" spans="1:7" ht="18" x14ac:dyDescent="0.3">
      <c r="A393" t="s">
        <v>817</v>
      </c>
      <c r="B393" t="e" vm="425">
        <v>#VALUE!</v>
      </c>
      <c r="C393" s="6" t="s">
        <v>763</v>
      </c>
      <c r="D393" t="s">
        <v>818</v>
      </c>
      <c r="E393" s="2" cm="1">
        <f t="array" aca="1" ref="E393" ca="1">_FV(B393,"Price")</f>
        <v>313.77</v>
      </c>
      <c r="F393" s="1" cm="1">
        <f t="array" aca="1" ref="F393" ca="1">_FV(B393,"Change (%)",TRUE)</f>
        <v>-1.8129999999999999E-3</v>
      </c>
      <c r="G393" s="3" cm="1">
        <f t="array" aca="1" ref="G393" ca="1">_FV(B393,"Market cap",TRUE)</f>
        <v>43891430000</v>
      </c>
    </row>
    <row r="394" spans="1:7" ht="18" x14ac:dyDescent="0.3">
      <c r="A394" t="s">
        <v>819</v>
      </c>
      <c r="B394" t="e" vm="426">
        <v>#VALUE!</v>
      </c>
      <c r="C394" s="6" t="s">
        <v>763</v>
      </c>
      <c r="D394" t="s">
        <v>820</v>
      </c>
      <c r="E394" s="2" cm="1">
        <f t="array" aca="1" ref="E394" ca="1">_FV(B394,"Price")</f>
        <v>79.12</v>
      </c>
      <c r="F394" s="1" cm="1">
        <f t="array" aca="1" ref="F394" ca="1">_FV(B394,"Change (%)",TRUE)</f>
        <v>-9.7619999999999998E-3</v>
      </c>
      <c r="G394" s="3" cm="1">
        <f t="array" aca="1" ref="G394" ca="1">_FV(B394,"Market cap",TRUE)</f>
        <v>39001570000</v>
      </c>
    </row>
    <row r="395" spans="1:7" ht="18" x14ac:dyDescent="0.3">
      <c r="A395" t="s">
        <v>821</v>
      </c>
      <c r="B395" t="e" vm="427">
        <v>#VALUE!</v>
      </c>
      <c r="C395" s="6" t="s">
        <v>763</v>
      </c>
      <c r="D395" t="s">
        <v>822</v>
      </c>
      <c r="E395" s="2" cm="1">
        <f t="array" aca="1" ref="E395" ca="1">_FV(B395,"Price")</f>
        <v>438.36</v>
      </c>
      <c r="F395" s="1" cm="1">
        <f t="array" aca="1" ref="F395" ca="1">_FV(B395,"Change (%)",TRUE)</f>
        <v>-1.1946000000000002E-2</v>
      </c>
      <c r="G395" s="3" cm="1">
        <f t="array" aca="1" ref="G395" ca="1">_FV(B395,"Market cap",TRUE)</f>
        <v>33739230000</v>
      </c>
    </row>
    <row r="396" spans="1:7" ht="18" x14ac:dyDescent="0.3">
      <c r="A396" t="s">
        <v>823</v>
      </c>
      <c r="B396" t="e" vm="14">
        <v>#VALUE!</v>
      </c>
      <c r="C396" s="6" t="s">
        <v>763</v>
      </c>
      <c r="D396" t="s">
        <v>824</v>
      </c>
      <c r="E396" s="2" cm="1">
        <f t="array" aca="1" ref="E396" ca="1">_FV(B396,"Price")</f>
        <v>224.99</v>
      </c>
      <c r="F396" s="1" cm="1">
        <f t="array" aca="1" ref="F396" ca="1">_FV(B396,"Change (%)",TRUE)</f>
        <v>-4.5129999999999997E-3</v>
      </c>
      <c r="G396" s="3" cm="1">
        <f t="array" aca="1" ref="G396" ca="1">_FV(B396,"Market cap",TRUE)</f>
        <v>41084730000</v>
      </c>
    </row>
    <row r="397" spans="1:7" ht="18" x14ac:dyDescent="0.3">
      <c r="A397" t="s">
        <v>825</v>
      </c>
      <c r="B397" t="e" vm="428">
        <v>#VALUE!</v>
      </c>
      <c r="C397" s="6" t="s">
        <v>763</v>
      </c>
      <c r="D397" t="s">
        <v>826</v>
      </c>
      <c r="E397" s="2" cm="1">
        <f t="array" aca="1" ref="E397" ca="1">_FV(B397,"Price")</f>
        <v>146.88999999999999</v>
      </c>
      <c r="F397" s="1" cm="1">
        <f t="array" aca="1" ref="F397" ca="1">_FV(B397,"Change (%)",TRUE)</f>
        <v>1.7730000000000001E-3</v>
      </c>
      <c r="G397" s="3" cm="1">
        <f t="array" aca="1" ref="G397" ca="1">_FV(B397,"Market cap",TRUE)</f>
        <v>36835010000</v>
      </c>
    </row>
    <row r="398" spans="1:7" ht="18" x14ac:dyDescent="0.3">
      <c r="A398" t="s">
        <v>827</v>
      </c>
      <c r="B398" t="e" vm="429">
        <v>#VALUE!</v>
      </c>
      <c r="C398" s="6" t="s">
        <v>763</v>
      </c>
      <c r="D398" t="s">
        <v>828</v>
      </c>
      <c r="E398" s="2" cm="1">
        <f t="array" aca="1" ref="E398" ca="1">_FV(B398,"Price")</f>
        <v>71.92</v>
      </c>
      <c r="F398" s="1" cm="1">
        <f t="array" aca="1" ref="F398" ca="1">_FV(B398,"Change (%)",TRUE)</f>
        <v>-3.1879999999999999E-3</v>
      </c>
      <c r="G398" s="3" cm="1">
        <f t="array" aca="1" ref="G398" ca="1">_FV(B398,"Market cap",TRUE)</f>
        <v>33155120000</v>
      </c>
    </row>
    <row r="399" spans="1:7" ht="18" x14ac:dyDescent="0.3">
      <c r="A399" t="s">
        <v>829</v>
      </c>
      <c r="B399" t="e" vm="430">
        <v>#VALUE!</v>
      </c>
      <c r="C399" s="6" t="s">
        <v>763</v>
      </c>
      <c r="D399" t="s">
        <v>830</v>
      </c>
      <c r="E399" s="2" cm="1">
        <f t="array" aca="1" ref="E399" ca="1">_FV(B399,"Price")</f>
        <v>73.989999999999995</v>
      </c>
      <c r="F399" s="1" cm="1">
        <f t="array" aca="1" ref="F399" ca="1">_FV(B399,"Change (%)",TRUE)</f>
        <v>-2.0230000000000001E-3</v>
      </c>
      <c r="G399" s="3" cm="1">
        <f t="array" aca="1" ref="G399" ca="1">_FV(B399,"Market cap",TRUE)</f>
        <v>31215390000</v>
      </c>
    </row>
    <row r="400" spans="1:7" ht="18" x14ac:dyDescent="0.3">
      <c r="A400" t="s">
        <v>831</v>
      </c>
      <c r="B400" t="e" vm="431">
        <v>#VALUE!</v>
      </c>
      <c r="C400" s="6" t="s">
        <v>763</v>
      </c>
      <c r="D400" t="s">
        <v>832</v>
      </c>
      <c r="E400" s="2" cm="1">
        <f t="array" aca="1" ref="E400" ca="1">_FV(B400,"Price")</f>
        <v>342.17</v>
      </c>
      <c r="F400" s="1" cm="1">
        <f t="array" aca="1" ref="F400" ca="1">_FV(B400,"Change (%)",TRUE)</f>
        <v>-4.3070000000000001E-3</v>
      </c>
      <c r="G400" s="3" cm="1">
        <f t="array" aca="1" ref="G400" ca="1">_FV(B400,"Market cap",TRUE)</f>
        <v>30082270000</v>
      </c>
    </row>
    <row r="401" spans="1:7" ht="18" x14ac:dyDescent="0.3">
      <c r="A401" t="s">
        <v>833</v>
      </c>
      <c r="B401" t="e" vm="432">
        <v>#VALUE!</v>
      </c>
      <c r="C401" s="6" t="s">
        <v>763</v>
      </c>
      <c r="D401" t="s">
        <v>834</v>
      </c>
      <c r="E401" s="2" cm="1">
        <f t="array" aca="1" ref="E401" ca="1">_FV(B401,"Price")</f>
        <v>566.02</v>
      </c>
      <c r="F401" s="1" cm="1">
        <f t="array" aca="1" ref="F401" ca="1">_FV(B401,"Change (%)",TRUE)</f>
        <v>-2.467E-3</v>
      </c>
      <c r="G401" s="3" cm="1">
        <f t="array" aca="1" ref="G401" ca="1">_FV(B401,"Market cap",TRUE)</f>
        <v>24408790000</v>
      </c>
    </row>
    <row r="402" spans="1:7" ht="18" x14ac:dyDescent="0.3">
      <c r="A402" t="s">
        <v>835</v>
      </c>
      <c r="B402" t="e" vm="17">
        <v>#VALUE!</v>
      </c>
      <c r="C402" s="6" t="s">
        <v>763</v>
      </c>
      <c r="D402" t="s">
        <v>836</v>
      </c>
      <c r="E402" s="2" cm="1">
        <f t="array" aca="1" ref="E402" ca="1">_FV(B402,"Price")</f>
        <v>182.84</v>
      </c>
      <c r="F402" s="1" cm="1">
        <f t="array" aca="1" ref="F402" ca="1">_FV(B402,"Change (%)",TRUE)</f>
        <v>-6.1419999999999999E-3</v>
      </c>
      <c r="G402" s="3" cm="1">
        <f t="array" aca="1" ref="G402" ca="1">_FV(B402,"Market cap",TRUE)</f>
        <v>26052540000</v>
      </c>
    </row>
    <row r="403" spans="1:7" ht="18" x14ac:dyDescent="0.3">
      <c r="A403" t="s">
        <v>837</v>
      </c>
      <c r="B403" t="e" vm="433">
        <v>#VALUE!</v>
      </c>
      <c r="C403" s="6" t="s">
        <v>763</v>
      </c>
      <c r="D403" t="s">
        <v>838</v>
      </c>
      <c r="E403" s="2" cm="1">
        <f t="array" aca="1" ref="E403" ca="1">_FV(B403,"Price")</f>
        <v>279.76</v>
      </c>
      <c r="F403" s="1" cm="1">
        <f t="array" aca="1" ref="F403" ca="1">_FV(B403,"Change (%)",TRUE)</f>
        <v>-7.4510000000000002E-3</v>
      </c>
      <c r="G403" s="3" cm="1">
        <f t="array" aca="1" ref="G403" ca="1">_FV(B403,"Market cap",TRUE)</f>
        <v>26269460000</v>
      </c>
    </row>
    <row r="404" spans="1:7" ht="18" x14ac:dyDescent="0.3">
      <c r="A404" t="s">
        <v>839</v>
      </c>
      <c r="B404" t="e" vm="434">
        <v>#VALUE!</v>
      </c>
      <c r="C404" s="6" t="s">
        <v>763</v>
      </c>
      <c r="D404" t="s">
        <v>840</v>
      </c>
      <c r="E404" s="2" cm="1">
        <f t="array" aca="1" ref="E404" ca="1">_FV(B404,"Price")</f>
        <v>168.77</v>
      </c>
      <c r="F404" s="1" cm="1">
        <f t="array" aca="1" ref="F404" ca="1">_FV(B404,"Change (%)",TRUE)</f>
        <v>-9.391E-3</v>
      </c>
      <c r="G404" s="3" cm="1">
        <f t="array" aca="1" ref="G404" ca="1">_FV(B404,"Market cap",TRUE)</f>
        <v>20307000000</v>
      </c>
    </row>
    <row r="405" spans="1:7" ht="18" x14ac:dyDescent="0.3">
      <c r="A405" t="s">
        <v>841</v>
      </c>
      <c r="B405" t="e" vm="435">
        <v>#VALUE!</v>
      </c>
      <c r="C405" s="6" t="s">
        <v>763</v>
      </c>
      <c r="D405" t="s">
        <v>842</v>
      </c>
      <c r="E405" s="2" cm="1">
        <f t="array" aca="1" ref="E405" ca="1">_FV(B405,"Price")</f>
        <v>152.49</v>
      </c>
      <c r="F405" s="1" cm="1">
        <f t="array" aca="1" ref="F405" ca="1">_FV(B405,"Change (%)",TRUE)</f>
        <v>-3.6701999999999999E-2</v>
      </c>
      <c r="G405" s="3" cm="1">
        <f t="array" aca="1" ref="G405" ca="1">_FV(B405,"Market cap",TRUE)</f>
        <v>19628340000</v>
      </c>
    </row>
    <row r="406" spans="1:7" ht="18" x14ac:dyDescent="0.3">
      <c r="A406" t="s">
        <v>843</v>
      </c>
      <c r="B406" t="e" vm="436">
        <v>#VALUE!</v>
      </c>
      <c r="C406" s="6" t="s">
        <v>763</v>
      </c>
      <c r="D406" t="s">
        <v>844</v>
      </c>
      <c r="E406" s="2" cm="1">
        <f t="array" aca="1" ref="E406" ca="1">_FV(B406,"Price")</f>
        <v>70.55</v>
      </c>
      <c r="F406" s="1" cm="1">
        <f t="array" aca="1" ref="F406" ca="1">_FV(B406,"Change (%)",TRUE)</f>
        <v>-3.3900000000000002E-3</v>
      </c>
      <c r="G406" s="3" cm="1">
        <f t="array" aca="1" ref="G406" ca="1">_FV(B406,"Market cap",TRUE)</f>
        <v>16832310000</v>
      </c>
    </row>
    <row r="407" spans="1:7" ht="18" x14ac:dyDescent="0.3">
      <c r="A407" t="s">
        <v>845</v>
      </c>
      <c r="B407" t="e" vm="437">
        <v>#VALUE!</v>
      </c>
      <c r="C407" s="6" t="s">
        <v>763</v>
      </c>
      <c r="D407" t="s">
        <v>846</v>
      </c>
      <c r="E407" s="2" cm="1">
        <f t="array" aca="1" ref="E407" ca="1">_FV(B407,"Price")</f>
        <v>282.10000000000002</v>
      </c>
      <c r="F407" s="1" cm="1">
        <f t="array" aca="1" ref="F407" ca="1">_FV(B407,"Change (%)",TRUE)</f>
        <v>-8.3660000000000002E-3</v>
      </c>
      <c r="G407" s="3" cm="1">
        <f t="array" aca="1" ref="G407" ca="1">_FV(B407,"Market cap",TRUE)</f>
        <v>16201450000</v>
      </c>
    </row>
    <row r="408" spans="1:7" ht="18" x14ac:dyDescent="0.3">
      <c r="A408" t="s">
        <v>847</v>
      </c>
      <c r="B408" t="e" vm="438">
        <v>#VALUE!</v>
      </c>
      <c r="C408" s="6" t="s">
        <v>763</v>
      </c>
      <c r="D408" t="s">
        <v>848</v>
      </c>
      <c r="E408" s="2" cm="1">
        <f t="array" aca="1" ref="E408" ca="1">_FV(B408,"Price")</f>
        <v>27.59</v>
      </c>
      <c r="F408" s="1" cm="1">
        <f t="array" aca="1" ref="F408" ca="1">_FV(B408,"Change (%)",TRUE)</f>
        <v>-6.124000000000001E-3</v>
      </c>
      <c r="G408" s="3" cm="1">
        <f t="array" aca="1" ref="G408" ca="1">_FV(B408,"Market cap",TRUE)</f>
        <v>17112140000</v>
      </c>
    </row>
    <row r="409" spans="1:7" ht="18" x14ac:dyDescent="0.3">
      <c r="A409" t="s">
        <v>849</v>
      </c>
      <c r="B409" t="e" vm="439">
        <v>#VALUE!</v>
      </c>
      <c r="C409" s="6" t="s">
        <v>763</v>
      </c>
      <c r="D409" t="s">
        <v>850</v>
      </c>
      <c r="E409" s="2" cm="1">
        <f t="array" aca="1" ref="E409" ca="1">_FV(B409,"Price")</f>
        <v>182</v>
      </c>
      <c r="F409" s="1" cm="1">
        <f t="array" aca="1" ref="F409" ca="1">_FV(B409,"Change (%)",TRUE)</f>
        <v>8.7989999999999997E-4</v>
      </c>
      <c r="G409" s="3" cm="1">
        <f t="array" aca="1" ref="G409" ca="1">_FV(B409,"Market cap",TRUE)</f>
        <v>13252510000</v>
      </c>
    </row>
    <row r="410" spans="1:7" ht="18" x14ac:dyDescent="0.3">
      <c r="A410" t="s">
        <v>851</v>
      </c>
      <c r="B410" t="e" vm="440">
        <v>#VALUE!</v>
      </c>
      <c r="C410" s="6" t="s">
        <v>763</v>
      </c>
      <c r="D410" t="s">
        <v>852</v>
      </c>
      <c r="E410" s="2" cm="1">
        <f t="array" aca="1" ref="E410" ca="1">_FV(B410,"Price")</f>
        <v>75.84</v>
      </c>
      <c r="F410" s="1" cm="1">
        <f t="array" aca="1" ref="F410" ca="1">_FV(B410,"Change (%)",TRUE)</f>
        <v>-1.6087000000000001E-2</v>
      </c>
      <c r="G410" s="3" cm="1">
        <f t="array" aca="1" ref="G410" ca="1">_FV(B410,"Market cap",TRUE)</f>
        <v>11088290000</v>
      </c>
    </row>
    <row r="411" spans="1:7" ht="18" x14ac:dyDescent="0.3">
      <c r="A411" t="s">
        <v>853</v>
      </c>
      <c r="B411" t="e" vm="441">
        <v>#VALUE!</v>
      </c>
      <c r="C411" s="6" t="s">
        <v>763</v>
      </c>
      <c r="D411" t="s">
        <v>854</v>
      </c>
      <c r="E411" s="2" cm="1">
        <f t="array" aca="1" ref="E411" ca="1">_FV(B411,"Price")</f>
        <v>175.95</v>
      </c>
      <c r="F411" s="1" cm="1">
        <f t="array" aca="1" ref="F411" ca="1">_FV(B411,"Change (%)",TRUE)</f>
        <v>-2.5909000000000001E-2</v>
      </c>
      <c r="G411" s="3" cm="1">
        <f t="array" aca="1" ref="G411" ca="1">_FV(B411,"Market cap",TRUE)</f>
        <v>9968043000</v>
      </c>
    </row>
    <row r="412" spans="1:7" ht="18" x14ac:dyDescent="0.3">
      <c r="A412" t="s">
        <v>855</v>
      </c>
      <c r="B412" t="e" vm="442">
        <v>#VALUE!</v>
      </c>
      <c r="C412" s="6" t="s">
        <v>763</v>
      </c>
      <c r="D412" t="s">
        <v>856</v>
      </c>
      <c r="E412" s="2" cm="1">
        <f t="array" aca="1" ref="E412" ca="1">_FV(B412,"Price")</f>
        <v>257.89999999999998</v>
      </c>
      <c r="F412" s="1" cm="1">
        <f t="array" aca="1" ref="F412" ca="1">_FV(B412,"Change (%)",TRUE)</f>
        <v>-1.3767E-2</v>
      </c>
      <c r="G412" s="3" cm="1">
        <f t="array" aca="1" ref="G412" ca="1">_FV(B412,"Market cap",TRUE)</f>
        <v>14446920000</v>
      </c>
    </row>
    <row r="413" spans="1:7" ht="18" x14ac:dyDescent="0.3">
      <c r="A413" t="s">
        <v>857</v>
      </c>
      <c r="B413" t="e" vm="443">
        <v>#VALUE!</v>
      </c>
      <c r="C413" s="6" t="s">
        <v>763</v>
      </c>
      <c r="D413" t="s">
        <v>858</v>
      </c>
      <c r="E413" s="2" cm="1">
        <f t="array" aca="1" ref="E413" ca="1">_FV(B413,"Price")</f>
        <v>57.23</v>
      </c>
      <c r="F413" s="1" cm="1">
        <f t="array" aca="1" ref="F413" ca="1">_FV(B413,"Change (%)",TRUE)</f>
        <v>-1.9195E-2</v>
      </c>
      <c r="G413" s="3" cm="1">
        <f t="array" aca="1" ref="G413" ca="1">_FV(B413,"Market cap",TRUE)</f>
        <v>9149993000</v>
      </c>
    </row>
    <row r="414" spans="1:7" ht="18" x14ac:dyDescent="0.3">
      <c r="A414" t="s">
        <v>859</v>
      </c>
      <c r="B414" t="e" vm="23">
        <v>#VALUE!</v>
      </c>
      <c r="C414" s="6" t="s">
        <v>763</v>
      </c>
      <c r="D414" t="s">
        <v>860</v>
      </c>
      <c r="E414" s="2" cm="1">
        <f t="array" aca="1" ref="E414" ca="1">_FV(B414,"Price")</f>
        <v>29.21</v>
      </c>
      <c r="F414" s="1" cm="1">
        <f t="array" aca="1" ref="F414" ca="1">_FV(B414,"Change (%)",TRUE)</f>
        <v>-8.149E-3</v>
      </c>
      <c r="G414" s="3" cm="1">
        <f t="array" aca="1" ref="G414" ca="1">_FV(B414,"Market cap",TRUE)</f>
        <v>7163032000</v>
      </c>
    </row>
    <row r="415" spans="1:7" ht="18" x14ac:dyDescent="0.3">
      <c r="A415" t="s">
        <v>861</v>
      </c>
      <c r="B415" t="e" vm="444">
        <v>#VALUE!</v>
      </c>
      <c r="C415" s="6" t="s">
        <v>763</v>
      </c>
      <c r="D415" t="s">
        <v>862</v>
      </c>
      <c r="E415" s="2" cm="1">
        <f t="array" aca="1" ref="E415" ca="1">_FV(B415,"Price")</f>
        <v>720.13</v>
      </c>
      <c r="F415" s="1" cm="1">
        <f t="array" aca="1" ref="F415" ca="1">_FV(B415,"Change (%)",TRUE)</f>
        <v>8.1163000000000013E-2</v>
      </c>
      <c r="G415" s="3" cm="1">
        <f t="array" aca="1" ref="G415" ca="1">_FV(B415,"Market cap",TRUE)</f>
        <v>200878100000</v>
      </c>
    </row>
    <row r="416" spans="1:7" ht="18" x14ac:dyDescent="0.3">
      <c r="A416" t="s">
        <v>863</v>
      </c>
      <c r="B416" t="e" vm="445">
        <v>#VALUE!</v>
      </c>
      <c r="C416" s="6" t="s">
        <v>763</v>
      </c>
      <c r="D416" t="s">
        <v>864</v>
      </c>
      <c r="E416" s="2" cm="1">
        <f t="array" aca="1" ref="E416" ca="1">_FV(B416,"Price")</f>
        <v>78.22</v>
      </c>
      <c r="F416" s="1" cm="1">
        <f t="array" aca="1" ref="F416" ca="1">_FV(B416,"Change (%)",TRUE)</f>
        <v>-1.5319999999999999E-3</v>
      </c>
      <c r="G416" s="3" cm="1">
        <f t="array" aca="1" ref="G416" ca="1">_FV(B416,"Market cap",TRUE)</f>
        <v>41096400000</v>
      </c>
    </row>
    <row r="417" spans="1:7" ht="18" x14ac:dyDescent="0.3">
      <c r="A417" t="s">
        <v>865</v>
      </c>
      <c r="B417" t="e" vm="27">
        <v>#VALUE!</v>
      </c>
      <c r="C417" s="6" t="s">
        <v>938</v>
      </c>
      <c r="D417" t="s">
        <v>866</v>
      </c>
      <c r="E417" s="2" cm="1">
        <f t="array" aca="1" ref="E417" ca="1">_FV(B417,"Price")</f>
        <v>45.69</v>
      </c>
      <c r="F417" s="1" cm="1">
        <f t="array" aca="1" ref="F417" ca="1">_FV(B417,"Change (%)",TRUE)</f>
        <v>-2.1840000000000002E-3</v>
      </c>
      <c r="G417" s="3" cm="1">
        <f t="array" aca="1" ref="G417" ca="1">_FV(B417,"Market cap",TRUE)</f>
        <v>11319670000</v>
      </c>
    </row>
    <row r="418" spans="1:7" ht="18" x14ac:dyDescent="0.3">
      <c r="A418" t="s">
        <v>939</v>
      </c>
      <c r="B418" t="e" vm="40">
        <v>#VALUE!</v>
      </c>
      <c r="C418" s="6" t="s">
        <v>938</v>
      </c>
      <c r="D418" t="s">
        <v>940</v>
      </c>
      <c r="E418" s="2" cm="1">
        <f t="array" aca="1" ref="E418" ca="1">_FV(B418,"Price")</f>
        <v>14.02</v>
      </c>
      <c r="F418" s="1" cm="1">
        <f t="array" aca="1" ref="F418" ca="1">_FV(B418,"Change (%)",TRUE)</f>
        <v>1.1544E-2</v>
      </c>
      <c r="G418" s="3" cm="1">
        <f t="array" aca="1" ref="G418" ca="1">_FV(B418,"Market cap",TRUE)</f>
        <v>4070327000</v>
      </c>
    </row>
    <row r="419" spans="1:7" ht="18" x14ac:dyDescent="0.3">
      <c r="A419" t="s">
        <v>941</v>
      </c>
      <c r="B419" t="e" vm="41">
        <v>#VALUE!</v>
      </c>
      <c r="C419" s="6" t="s">
        <v>938</v>
      </c>
      <c r="D419" t="s">
        <v>942</v>
      </c>
      <c r="E419" s="2" cm="1">
        <f t="array" aca="1" ref="E419" ca="1">_FV(B419,"Price")</f>
        <v>13.31</v>
      </c>
      <c r="F419" s="1" cm="1">
        <f t="array" aca="1" ref="F419" ca="1">_FV(B419,"Change (%)",TRUE)</f>
        <v>0.10273400000000001</v>
      </c>
      <c r="G419" s="3" cm="1">
        <f t="array" aca="1" ref="G419" ca="1">_FV(B419,"Market cap",TRUE)</f>
        <v>1875426000</v>
      </c>
    </row>
    <row r="420" spans="1:7" ht="18" x14ac:dyDescent="0.3">
      <c r="A420" t="s">
        <v>943</v>
      </c>
      <c r="B420" t="e" vm="24">
        <v>#VALUE!</v>
      </c>
      <c r="C420" s="6" t="s">
        <v>947</v>
      </c>
      <c r="E420" s="2" cm="1">
        <f t="array" aca="1" ref="E420" ca="1">_FV(B420,"Price")</f>
        <v>44.04</v>
      </c>
      <c r="F420" s="1" cm="1">
        <f t="array" aca="1" ref="F420" ca="1">_FV(B420,"Change (%)",TRUE)</f>
        <v>2.7052E-2</v>
      </c>
      <c r="G420" s="3" cm="1">
        <f t="array" aca="1" ref="G420" ca="1">_FV(B420,"Market cap",TRUE)</f>
        <v>22174790000</v>
      </c>
    </row>
    <row r="421" spans="1:7" ht="18" x14ac:dyDescent="0.3">
      <c r="A421" t="s">
        <v>944</v>
      </c>
      <c r="B421" t="e" vm="29">
        <v>#VALUE!</v>
      </c>
      <c r="C421" s="6" t="s">
        <v>947</v>
      </c>
      <c r="E421" s="2" cm="1">
        <f t="array" aca="1" ref="E421" ca="1">_FV(B421,"Price")</f>
        <v>53.65</v>
      </c>
      <c r="F421" s="1" cm="1">
        <f t="array" aca="1" ref="F421" ca="1">_FV(B421,"Change (%)",TRUE)</f>
        <v>1.8992999999999999E-2</v>
      </c>
      <c r="G421" s="3" cm="1">
        <f t="array" aca="1" ref="G421" ca="1">_FV(B421,"Market cap",TRUE)</f>
        <v>59712290000</v>
      </c>
    </row>
    <row r="422" spans="1:7" ht="18" x14ac:dyDescent="0.3">
      <c r="A422" t="s">
        <v>945</v>
      </c>
      <c r="B422" t="e" vm="30">
        <v>#VALUE!</v>
      </c>
      <c r="C422" s="6" t="s">
        <v>947</v>
      </c>
      <c r="E422" s="2" cm="1">
        <f t="array" aca="1" ref="E422" ca="1">_FV(B422,"Price")</f>
        <v>117.62</v>
      </c>
      <c r="F422" s="1" cm="1">
        <f t="array" aca="1" ref="F422" ca="1">_FV(B422,"Change (%)",TRUE)</f>
        <v>2.6442E-2</v>
      </c>
      <c r="G422" s="3" cm="1">
        <f t="array" aca="1" ref="G422" ca="1">_FV(B422,"Market cap",TRUE)</f>
        <v>80486950000</v>
      </c>
    </row>
    <row r="423" spans="1:7" ht="18" x14ac:dyDescent="0.3">
      <c r="A423" t="s">
        <v>946</v>
      </c>
      <c r="B423" t="e" vm="31">
        <v>#VALUE!</v>
      </c>
      <c r="C423" s="6" t="s">
        <v>947</v>
      </c>
      <c r="E423" s="2" cm="1">
        <f t="array" aca="1" ref="E423" ca="1">_FV(B423,"Price")</f>
        <v>180.59</v>
      </c>
      <c r="F423" s="1" cm="1">
        <f t="array" aca="1" ref="F423" ca="1">_FV(B423,"Change (%)",TRUE)</f>
        <v>2.1840999999999999E-2</v>
      </c>
      <c r="G423" s="3" cm="1">
        <f t="array" aca="1" ref="G423" ca="1">_FV(B423,"Market cap",TRUE)</f>
        <v>11885800000</v>
      </c>
    </row>
    <row r="424" spans="1:7" ht="18" x14ac:dyDescent="0.3">
      <c r="A424" t="s">
        <v>948</v>
      </c>
      <c r="B424" t="e" vm="32">
        <v>#VALUE!</v>
      </c>
      <c r="C424" s="6" t="s">
        <v>947</v>
      </c>
      <c r="E424" s="2" cm="1">
        <f t="array" aca="1" ref="E424" ca="1">_FV(B424,"Price")</f>
        <v>12.22</v>
      </c>
      <c r="F424" s="1" cm="1">
        <f t="array" aca="1" ref="F424" ca="1">_FV(B424,"Change (%)",TRUE)</f>
        <v>5.7609999999999996E-3</v>
      </c>
      <c r="G424" s="3" cm="1">
        <f t="array" aca="1" ref="G424" ca="1">_FV(B424,"Market cap",TRUE)</f>
        <v>1688119000</v>
      </c>
    </row>
    <row r="425" spans="1:7" ht="18" x14ac:dyDescent="0.3">
      <c r="A425" t="s">
        <v>949</v>
      </c>
      <c r="B425" t="e" vm="33">
        <v>#VALUE!</v>
      </c>
      <c r="C425" s="6" t="s">
        <v>947</v>
      </c>
      <c r="E425" s="2" cm="1">
        <f t="array" aca="1" ref="E425" ca="1">_FV(B425,"Price")</f>
        <v>17.21</v>
      </c>
      <c r="F425" s="1" cm="1">
        <f t="array" aca="1" ref="F425" ca="1">_FV(B425,"Change (%)",TRUE)</f>
        <v>4.1137E-2</v>
      </c>
      <c r="G425" s="3" cm="1">
        <f t="array" aca="1" ref="G425" ca="1">_FV(B425,"Market cap",TRUE)</f>
        <v>332063200</v>
      </c>
    </row>
    <row r="426" spans="1:7" ht="18" x14ac:dyDescent="0.3">
      <c r="A426" t="s">
        <v>950</v>
      </c>
      <c r="B426" t="e" vm="34">
        <v>#VALUE!</v>
      </c>
      <c r="C426" s="6" t="s">
        <v>947</v>
      </c>
      <c r="E426" s="2" cm="1">
        <f t="array" aca="1" ref="E426" ca="1">_FV(B426,"Price")</f>
        <v>10.78</v>
      </c>
      <c r="F426" s="1" cm="1">
        <f t="array" aca="1" ref="F426" ca="1">_FV(B426,"Change (%)",TRUE)</f>
        <v>3.2566999999999999E-2</v>
      </c>
      <c r="G426" s="3" cm="1">
        <f t="array" aca="1" ref="G426" ca="1">_FV(B426,"Market cap",TRUE)</f>
        <v>136828200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3D65C-0429-467B-A955-79518BE13882}">
  <sheetPr codeName="Sheet2"/>
  <dimension ref="C2:C90"/>
  <sheetViews>
    <sheetView workbookViewId="0">
      <selection activeCell="O14" sqref="O14"/>
    </sheetView>
  </sheetViews>
  <sheetFormatPr defaultRowHeight="14.4" x14ac:dyDescent="0.3"/>
  <sheetData>
    <row r="2" spans="3:3" x14ac:dyDescent="0.3">
      <c r="C2" s="12" t="s">
        <v>867</v>
      </c>
    </row>
    <row r="4" spans="3:3" x14ac:dyDescent="0.3">
      <c r="C4" t="s">
        <v>868</v>
      </c>
    </row>
    <row r="6" spans="3:3" x14ac:dyDescent="0.3">
      <c r="C6" t="s">
        <v>869</v>
      </c>
    </row>
    <row r="8" spans="3:3" x14ac:dyDescent="0.3">
      <c r="C8" t="s">
        <v>870</v>
      </c>
    </row>
    <row r="9" spans="3:3" x14ac:dyDescent="0.3">
      <c r="C9" t="s">
        <v>871</v>
      </c>
    </row>
    <row r="10" spans="3:3" x14ac:dyDescent="0.3">
      <c r="C10" t="s">
        <v>872</v>
      </c>
    </row>
    <row r="11" spans="3:3" x14ac:dyDescent="0.3">
      <c r="C11" t="s">
        <v>873</v>
      </c>
    </row>
    <row r="12" spans="3:3" x14ac:dyDescent="0.3">
      <c r="C12" t="s">
        <v>874</v>
      </c>
    </row>
    <row r="13" spans="3:3" x14ac:dyDescent="0.3">
      <c r="C13" t="s">
        <v>875</v>
      </c>
    </row>
    <row r="14" spans="3:3" x14ac:dyDescent="0.3">
      <c r="C14" t="s">
        <v>876</v>
      </c>
    </row>
    <row r="15" spans="3:3" x14ac:dyDescent="0.3">
      <c r="C15" t="s">
        <v>877</v>
      </c>
    </row>
    <row r="16" spans="3:3" x14ac:dyDescent="0.3">
      <c r="C16" t="s">
        <v>878</v>
      </c>
    </row>
    <row r="17" spans="3:3" x14ac:dyDescent="0.3">
      <c r="C17" t="s">
        <v>879</v>
      </c>
    </row>
    <row r="19" spans="3:3" x14ac:dyDescent="0.3">
      <c r="C19" t="s">
        <v>880</v>
      </c>
    </row>
    <row r="20" spans="3:3" x14ac:dyDescent="0.3">
      <c r="C20" t="s">
        <v>881</v>
      </c>
    </row>
    <row r="22" spans="3:3" x14ac:dyDescent="0.3">
      <c r="C22" t="s">
        <v>882</v>
      </c>
    </row>
    <row r="23" spans="3:3" x14ac:dyDescent="0.3">
      <c r="C23" t="s">
        <v>883</v>
      </c>
    </row>
    <row r="24" spans="3:3" x14ac:dyDescent="0.3">
      <c r="C24" t="s">
        <v>884</v>
      </c>
    </row>
    <row r="25" spans="3:3" x14ac:dyDescent="0.3">
      <c r="C25" t="s">
        <v>885</v>
      </c>
    </row>
    <row r="26" spans="3:3" x14ac:dyDescent="0.3">
      <c r="C26" t="s">
        <v>886</v>
      </c>
    </row>
    <row r="27" spans="3:3" x14ac:dyDescent="0.3">
      <c r="C27" t="s">
        <v>887</v>
      </c>
    </row>
    <row r="29" spans="3:3" x14ac:dyDescent="0.3">
      <c r="C29" t="s">
        <v>888</v>
      </c>
    </row>
    <row r="30" spans="3:3" x14ac:dyDescent="0.3">
      <c r="C30" t="s">
        <v>889</v>
      </c>
    </row>
    <row r="31" spans="3:3" x14ac:dyDescent="0.3">
      <c r="C31" t="s">
        <v>890</v>
      </c>
    </row>
    <row r="32" spans="3:3" x14ac:dyDescent="0.3">
      <c r="C32" t="s">
        <v>891</v>
      </c>
    </row>
    <row r="33" spans="3:3" x14ac:dyDescent="0.3">
      <c r="C33" t="s">
        <v>892</v>
      </c>
    </row>
    <row r="35" spans="3:3" x14ac:dyDescent="0.3">
      <c r="C35" t="s">
        <v>893</v>
      </c>
    </row>
    <row r="36" spans="3:3" x14ac:dyDescent="0.3">
      <c r="C36" t="s">
        <v>894</v>
      </c>
    </row>
    <row r="37" spans="3:3" x14ac:dyDescent="0.3">
      <c r="C37" t="s">
        <v>895</v>
      </c>
    </row>
    <row r="38" spans="3:3" x14ac:dyDescent="0.3">
      <c r="C38" t="s">
        <v>896</v>
      </c>
    </row>
    <row r="39" spans="3:3" x14ac:dyDescent="0.3">
      <c r="C39" t="s">
        <v>897</v>
      </c>
    </row>
    <row r="41" spans="3:3" x14ac:dyDescent="0.3">
      <c r="C41" t="s">
        <v>898</v>
      </c>
    </row>
    <row r="42" spans="3:3" x14ac:dyDescent="0.3">
      <c r="C42" t="s">
        <v>899</v>
      </c>
    </row>
    <row r="43" spans="3:3" x14ac:dyDescent="0.3">
      <c r="C43" t="s">
        <v>900</v>
      </c>
    </row>
    <row r="44" spans="3:3" x14ac:dyDescent="0.3">
      <c r="C44" t="s">
        <v>901</v>
      </c>
    </row>
    <row r="45" spans="3:3" x14ac:dyDescent="0.3">
      <c r="C45" t="s">
        <v>902</v>
      </c>
    </row>
    <row r="46" spans="3:3" x14ac:dyDescent="0.3">
      <c r="C46" t="s">
        <v>903</v>
      </c>
    </row>
    <row r="47" spans="3:3" x14ac:dyDescent="0.3">
      <c r="C47" t="s">
        <v>904</v>
      </c>
    </row>
    <row r="48" spans="3:3" x14ac:dyDescent="0.3">
      <c r="C48" t="s">
        <v>905</v>
      </c>
    </row>
    <row r="49" spans="3:3" x14ac:dyDescent="0.3">
      <c r="C49" t="s">
        <v>906</v>
      </c>
    </row>
    <row r="50" spans="3:3" x14ac:dyDescent="0.3">
      <c r="C50" t="s">
        <v>907</v>
      </c>
    </row>
    <row r="51" spans="3:3" x14ac:dyDescent="0.3">
      <c r="C51" t="s">
        <v>908</v>
      </c>
    </row>
    <row r="52" spans="3:3" x14ac:dyDescent="0.3">
      <c r="C52" t="s">
        <v>909</v>
      </c>
    </row>
    <row r="53" spans="3:3" x14ac:dyDescent="0.3">
      <c r="C53" t="s">
        <v>910</v>
      </c>
    </row>
    <row r="54" spans="3:3" x14ac:dyDescent="0.3">
      <c r="C54" t="s">
        <v>911</v>
      </c>
    </row>
    <row r="55" spans="3:3" x14ac:dyDescent="0.3">
      <c r="C55" t="s">
        <v>912</v>
      </c>
    </row>
    <row r="56" spans="3:3" x14ac:dyDescent="0.3">
      <c r="C56" t="s">
        <v>913</v>
      </c>
    </row>
    <row r="57" spans="3:3" x14ac:dyDescent="0.3">
      <c r="C57" t="s">
        <v>914</v>
      </c>
    </row>
    <row r="58" spans="3:3" x14ac:dyDescent="0.3">
      <c r="C58" t="s">
        <v>915</v>
      </c>
    </row>
    <row r="59" spans="3:3" x14ac:dyDescent="0.3">
      <c r="C59" t="s">
        <v>916</v>
      </c>
    </row>
    <row r="60" spans="3:3" x14ac:dyDescent="0.3">
      <c r="C60" t="s">
        <v>917</v>
      </c>
    </row>
    <row r="61" spans="3:3" x14ac:dyDescent="0.3">
      <c r="C61" t="s">
        <v>918</v>
      </c>
    </row>
    <row r="62" spans="3:3" x14ac:dyDescent="0.3">
      <c r="C62" t="s">
        <v>919</v>
      </c>
    </row>
    <row r="63" spans="3:3" x14ac:dyDescent="0.3">
      <c r="C63" t="s">
        <v>920</v>
      </c>
    </row>
    <row r="64" spans="3:3" x14ac:dyDescent="0.3">
      <c r="C64" t="s">
        <v>921</v>
      </c>
    </row>
    <row r="65" spans="3:3" x14ac:dyDescent="0.3">
      <c r="C65" t="s">
        <v>922</v>
      </c>
    </row>
    <row r="66" spans="3:3" x14ac:dyDescent="0.3">
      <c r="C66" t="s">
        <v>923</v>
      </c>
    </row>
    <row r="68" spans="3:3" x14ac:dyDescent="0.3">
      <c r="C68" t="s">
        <v>924</v>
      </c>
    </row>
    <row r="69" spans="3:3" x14ac:dyDescent="0.3">
      <c r="C69" t="s">
        <v>925</v>
      </c>
    </row>
    <row r="70" spans="3:3" x14ac:dyDescent="0.3">
      <c r="C70" t="s">
        <v>926</v>
      </c>
    </row>
    <row r="72" spans="3:3" x14ac:dyDescent="0.3">
      <c r="C72" t="s">
        <v>927</v>
      </c>
    </row>
    <row r="73" spans="3:3" x14ac:dyDescent="0.3">
      <c r="C73" t="s">
        <v>928</v>
      </c>
    </row>
    <row r="74" spans="3:3" x14ac:dyDescent="0.3">
      <c r="C74" t="s">
        <v>929</v>
      </c>
    </row>
    <row r="75" spans="3:3" x14ac:dyDescent="0.3">
      <c r="C75" t="s">
        <v>926</v>
      </c>
    </row>
    <row r="77" spans="3:3" x14ac:dyDescent="0.3">
      <c r="C77" t="s">
        <v>930</v>
      </c>
    </row>
    <row r="78" spans="3:3" x14ac:dyDescent="0.3">
      <c r="C78" t="s">
        <v>931</v>
      </c>
    </row>
    <row r="79" spans="3:3" x14ac:dyDescent="0.3">
      <c r="C79" t="s">
        <v>932</v>
      </c>
    </row>
    <row r="80" spans="3:3" x14ac:dyDescent="0.3">
      <c r="C80" t="s">
        <v>933</v>
      </c>
    </row>
    <row r="81" spans="3:3" x14ac:dyDescent="0.3">
      <c r="C81" t="s">
        <v>934</v>
      </c>
    </row>
    <row r="82" spans="3:3" x14ac:dyDescent="0.3">
      <c r="C82" t="s">
        <v>926</v>
      </c>
    </row>
    <row r="86" spans="3:3" x14ac:dyDescent="0.3">
      <c r="C86" s="12" t="s">
        <v>935</v>
      </c>
    </row>
    <row r="88" spans="3:3" x14ac:dyDescent="0.3">
      <c r="C88" t="s">
        <v>936</v>
      </c>
    </row>
    <row r="89" spans="3:3" x14ac:dyDescent="0.3">
      <c r="C89" t="s">
        <v>937</v>
      </c>
    </row>
    <row r="90" spans="3:3" x14ac:dyDescent="0.3">
      <c r="C90" t="s">
        <v>926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Watchlist</vt:lpstr>
      <vt:lpstr>Heatmap</vt:lpstr>
      <vt:lpstr>VBA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Ho Khang</dc:creator>
  <cp:keywords/>
  <dc:description/>
  <cp:lastModifiedBy>Kiet Ho</cp:lastModifiedBy>
  <cp:revision/>
  <dcterms:created xsi:type="dcterms:W3CDTF">2024-03-02T07:27:48Z</dcterms:created>
  <dcterms:modified xsi:type="dcterms:W3CDTF">2025-05-27T02:57:50Z</dcterms:modified>
  <cp:category/>
  <cp:contentStatus/>
</cp:coreProperties>
</file>